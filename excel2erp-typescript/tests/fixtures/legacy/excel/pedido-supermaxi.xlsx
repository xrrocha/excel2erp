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ardo/Workspace/plenix/la-holandesa/sap-excel-orders/data/"/>
    </mc:Choice>
  </mc:AlternateContent>
  <xr:revisionPtr revIDLastSave="0" documentId="13_ncr:1_{48A7EEFE-C4EF-8145-BFA4-6CB6DA6A9EB4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EXCEL SMX" sheetId="2" r:id="rId1"/>
    <sheet name="Hoja2" sheetId="12" state="hidden" r:id="rId2"/>
    <sheet name="FINAL BODEGA" sheetId="6" r:id="rId3"/>
    <sheet name="FINAL AE" sheetId="10" r:id="rId4"/>
    <sheet name="PRODS" sheetId="8" r:id="rId5"/>
  </sheets>
  <definedNames>
    <definedName name="_xlnm._FilterDatabase" localSheetId="0" hidden="1">'EXCEL SMX'!$A$3:$X$61</definedName>
    <definedName name="_xlnm._FilterDatabase" localSheetId="3" hidden="1">'FINAL AE'!$A$1:$I$117</definedName>
    <definedName name="_xlnm._FilterDatabase" localSheetId="2" hidden="1">'FINAL BODEGA'!$A$1:$H$121</definedName>
    <definedName name="_xlnm.Print_Area" localSheetId="3">'FINAL AE'!$C$1:$I$120</definedName>
    <definedName name="_xlnm.Print_Area" localSheetId="2">'FINAL BODEGA'!$A$1:$H$121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" i="10" l="1"/>
  <c r="D90" i="10"/>
  <c r="D91" i="10"/>
  <c r="D92" i="10"/>
  <c r="D93" i="10"/>
  <c r="D94" i="10"/>
  <c r="D89" i="6"/>
  <c r="E89" i="10" s="1"/>
  <c r="D90" i="6"/>
  <c r="E90" i="10" s="1"/>
  <c r="D91" i="6"/>
  <c r="E91" i="10" s="1"/>
  <c r="D92" i="6"/>
  <c r="E92" i="10" s="1"/>
  <c r="C89" i="6"/>
  <c r="C90" i="6"/>
  <c r="C9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E18" i="10" s="1"/>
  <c r="D62" i="6"/>
  <c r="E19" i="10" s="1"/>
  <c r="D63" i="6"/>
  <c r="E20" i="10" s="1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93" i="6"/>
  <c r="E93" i="10" s="1"/>
  <c r="D94" i="6"/>
  <c r="E94" i="10" s="1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8" i="10"/>
  <c r="D19" i="10"/>
  <c r="D20" i="10"/>
  <c r="C61" i="6"/>
  <c r="C62" i="6"/>
  <c r="C63" i="6"/>
  <c r="E90" i="6" l="1"/>
  <c r="F90" i="6" s="1"/>
  <c r="G90" i="6" s="1"/>
  <c r="H90" i="6" s="1"/>
  <c r="E91" i="6"/>
  <c r="F91" i="6" s="1"/>
  <c r="G91" i="6" s="1"/>
  <c r="H91" i="6" s="1"/>
  <c r="E89" i="6"/>
  <c r="F89" i="6" s="1"/>
  <c r="G89" i="6" s="1"/>
  <c r="H89" i="6" s="1"/>
  <c r="F92" i="10"/>
  <c r="G92" i="10" s="1"/>
  <c r="H92" i="10" s="1"/>
  <c r="I92" i="10" s="1"/>
  <c r="F94" i="10"/>
  <c r="G94" i="10" s="1"/>
  <c r="H94" i="10" s="1"/>
  <c r="I94" i="10" s="1"/>
  <c r="F91" i="10"/>
  <c r="G91" i="10" s="1"/>
  <c r="H91" i="10" s="1"/>
  <c r="I91" i="10" s="1"/>
  <c r="F90" i="10"/>
  <c r="G90" i="10" s="1"/>
  <c r="H90" i="10" s="1"/>
  <c r="I90" i="10" s="1"/>
  <c r="F93" i="10"/>
  <c r="G93" i="10" s="1"/>
  <c r="H93" i="10" s="1"/>
  <c r="I93" i="10" s="1"/>
  <c r="F89" i="10"/>
  <c r="G89" i="10" s="1"/>
  <c r="H89" i="10" s="1"/>
  <c r="I89" i="10" s="1"/>
  <c r="E62" i="6"/>
  <c r="F62" i="6" s="1"/>
  <c r="G62" i="6" s="1"/>
  <c r="E61" i="6"/>
  <c r="F61" i="6" s="1"/>
  <c r="G61" i="6" s="1"/>
  <c r="H61" i="6" s="1"/>
  <c r="E63" i="6"/>
  <c r="F63" i="6" s="1"/>
  <c r="G63" i="6" s="1"/>
  <c r="H63" i="6" s="1"/>
  <c r="F19" i="10"/>
  <c r="G19" i="10" s="1"/>
  <c r="F20" i="10"/>
  <c r="F18" i="10"/>
  <c r="G18" i="10" s="1"/>
  <c r="H18" i="10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4" i="6"/>
  <c r="E64" i="6" s="1"/>
  <c r="F64" i="6" s="1"/>
  <c r="G64" i="6" s="1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H62" i="6" l="1"/>
  <c r="G20" i="10"/>
  <c r="H20" i="10" s="1"/>
  <c r="H19" i="10"/>
  <c r="I19" i="10" s="1"/>
  <c r="I18" i="10"/>
  <c r="E95" i="10"/>
  <c r="E96" i="10"/>
  <c r="E4" i="6"/>
  <c r="F4" i="6" s="1"/>
  <c r="G4" i="6" s="1"/>
  <c r="E6" i="6"/>
  <c r="F6" i="6" s="1"/>
  <c r="G6" i="6" s="1"/>
  <c r="E7" i="6"/>
  <c r="F7" i="6" s="1"/>
  <c r="G7" i="6" s="1"/>
  <c r="E8" i="6"/>
  <c r="F8" i="6" s="1"/>
  <c r="G8" i="6" s="1"/>
  <c r="E10" i="6"/>
  <c r="F10" i="6" s="1"/>
  <c r="G10" i="6" s="1"/>
  <c r="E11" i="6"/>
  <c r="F11" i="6" s="1"/>
  <c r="G11" i="6" s="1"/>
  <c r="E12" i="6"/>
  <c r="F12" i="6" s="1"/>
  <c r="G12" i="6" s="1"/>
  <c r="E14" i="6"/>
  <c r="F14" i="6" s="1"/>
  <c r="G14" i="6" s="1"/>
  <c r="E15" i="6"/>
  <c r="F15" i="6" s="1"/>
  <c r="G15" i="6" s="1"/>
  <c r="E16" i="6"/>
  <c r="F16" i="6" s="1"/>
  <c r="G16" i="6" s="1"/>
  <c r="E18" i="6"/>
  <c r="F18" i="6" s="1"/>
  <c r="G18" i="6" s="1"/>
  <c r="E19" i="6"/>
  <c r="F19" i="6" s="1"/>
  <c r="G19" i="6" s="1"/>
  <c r="E20" i="6"/>
  <c r="F20" i="6" s="1"/>
  <c r="G20" i="6" s="1"/>
  <c r="E22" i="6"/>
  <c r="F22" i="6" s="1"/>
  <c r="G22" i="6" s="1"/>
  <c r="E23" i="6"/>
  <c r="F23" i="6" s="1"/>
  <c r="G23" i="6" s="1"/>
  <c r="E24" i="6"/>
  <c r="F24" i="6" s="1"/>
  <c r="G24" i="6" s="1"/>
  <c r="E26" i="6"/>
  <c r="F26" i="6" s="1"/>
  <c r="G26" i="6" s="1"/>
  <c r="E27" i="6"/>
  <c r="F27" i="6" s="1"/>
  <c r="G27" i="6" s="1"/>
  <c r="E28" i="6"/>
  <c r="F28" i="6" s="1"/>
  <c r="G28" i="6" s="1"/>
  <c r="E30" i="6"/>
  <c r="F30" i="6" s="1"/>
  <c r="G30" i="6" s="1"/>
  <c r="E31" i="6"/>
  <c r="F31" i="6" s="1"/>
  <c r="G31" i="6" s="1"/>
  <c r="E32" i="6"/>
  <c r="F32" i="6" s="1"/>
  <c r="G32" i="6" s="1"/>
  <c r="E34" i="6"/>
  <c r="F34" i="6" s="1"/>
  <c r="G34" i="6" s="1"/>
  <c r="E35" i="6"/>
  <c r="F35" i="6" s="1"/>
  <c r="G35" i="6" s="1"/>
  <c r="E36" i="6"/>
  <c r="F36" i="6" s="1"/>
  <c r="G36" i="6" s="1"/>
  <c r="E38" i="6"/>
  <c r="F38" i="6" s="1"/>
  <c r="G38" i="6" s="1"/>
  <c r="E39" i="6"/>
  <c r="F39" i="6" s="1"/>
  <c r="G39" i="6" s="1"/>
  <c r="E40" i="6"/>
  <c r="F40" i="6" s="1"/>
  <c r="G40" i="6" s="1"/>
  <c r="E42" i="6"/>
  <c r="F42" i="6" s="1"/>
  <c r="G42" i="6" s="1"/>
  <c r="E43" i="6"/>
  <c r="F43" i="6" s="1"/>
  <c r="G43" i="6" s="1"/>
  <c r="E44" i="6"/>
  <c r="F44" i="6" s="1"/>
  <c r="G44" i="6" s="1"/>
  <c r="E45" i="6"/>
  <c r="F45" i="6" s="1"/>
  <c r="G45" i="6" s="1"/>
  <c r="E46" i="6"/>
  <c r="F46" i="6" s="1"/>
  <c r="G46" i="6" s="1"/>
  <c r="E48" i="6"/>
  <c r="F48" i="6" s="1"/>
  <c r="G48" i="6" s="1"/>
  <c r="E49" i="6"/>
  <c r="F49" i="6" s="1"/>
  <c r="G49" i="6" s="1"/>
  <c r="E50" i="6"/>
  <c r="F50" i="6" s="1"/>
  <c r="G50" i="6" s="1"/>
  <c r="E51" i="6"/>
  <c r="F51" i="6" s="1"/>
  <c r="G51" i="6" s="1"/>
  <c r="E52" i="6"/>
  <c r="F52" i="6" s="1"/>
  <c r="G52" i="6" s="1"/>
  <c r="E53" i="6"/>
  <c r="F53" i="6" s="1"/>
  <c r="G53" i="6" s="1"/>
  <c r="E55" i="6"/>
  <c r="F55" i="6" s="1"/>
  <c r="G55" i="6" s="1"/>
  <c r="E56" i="6"/>
  <c r="F56" i="6" s="1"/>
  <c r="G56" i="6" s="1"/>
  <c r="E57" i="6"/>
  <c r="F57" i="6" s="1"/>
  <c r="G57" i="6" s="1"/>
  <c r="C2" i="6"/>
  <c r="D96" i="10"/>
  <c r="D95" i="10"/>
  <c r="I20" i="10" l="1"/>
  <c r="E3" i="6"/>
  <c r="F3" i="6" s="1"/>
  <c r="G3" i="6" s="1"/>
  <c r="E58" i="6"/>
  <c r="F58" i="6" s="1"/>
  <c r="G58" i="6" s="1"/>
  <c r="E54" i="6"/>
  <c r="F54" i="6" s="1"/>
  <c r="G54" i="6" s="1"/>
  <c r="E47" i="6"/>
  <c r="F47" i="6" s="1"/>
  <c r="G47" i="6" s="1"/>
  <c r="E41" i="6"/>
  <c r="F41" i="6" s="1"/>
  <c r="G41" i="6" s="1"/>
  <c r="E37" i="6"/>
  <c r="F37" i="6" s="1"/>
  <c r="G37" i="6" s="1"/>
  <c r="E33" i="6"/>
  <c r="F33" i="6" s="1"/>
  <c r="G33" i="6" s="1"/>
  <c r="E29" i="6"/>
  <c r="F29" i="6" s="1"/>
  <c r="G29" i="6" s="1"/>
  <c r="E25" i="6"/>
  <c r="F25" i="6" s="1"/>
  <c r="G25" i="6" s="1"/>
  <c r="E21" i="6"/>
  <c r="F21" i="6" s="1"/>
  <c r="G21" i="6" s="1"/>
  <c r="E17" i="6"/>
  <c r="F17" i="6" s="1"/>
  <c r="G17" i="6" s="1"/>
  <c r="E13" i="6"/>
  <c r="F13" i="6" s="1"/>
  <c r="G13" i="6" s="1"/>
  <c r="E9" i="6"/>
  <c r="F9" i="6" s="1"/>
  <c r="G9" i="6" s="1"/>
  <c r="E5" i="6"/>
  <c r="F5" i="6" s="1"/>
  <c r="G5" i="6" s="1"/>
  <c r="E111" i="6"/>
  <c r="F111" i="6" s="1"/>
  <c r="G111" i="6" s="1"/>
  <c r="E108" i="6"/>
  <c r="F108" i="6" s="1"/>
  <c r="G108" i="6" s="1"/>
  <c r="E104" i="6"/>
  <c r="F104" i="6" s="1"/>
  <c r="G104" i="6" s="1"/>
  <c r="E100" i="6"/>
  <c r="F100" i="6" s="1"/>
  <c r="G100" i="6" s="1"/>
  <c r="E97" i="6"/>
  <c r="F97" i="6" s="1"/>
  <c r="G97" i="6" s="1"/>
  <c r="E94" i="6"/>
  <c r="F94" i="6" s="1"/>
  <c r="G94" i="6" s="1"/>
  <c r="E87" i="6"/>
  <c r="F87" i="6" s="1"/>
  <c r="G87" i="6" s="1"/>
  <c r="E83" i="6"/>
  <c r="F83" i="6" s="1"/>
  <c r="G83" i="6" s="1"/>
  <c r="E79" i="6"/>
  <c r="F79" i="6" s="1"/>
  <c r="G79" i="6" s="1"/>
  <c r="E75" i="6"/>
  <c r="F75" i="6" s="1"/>
  <c r="G75" i="6" s="1"/>
  <c r="E71" i="6"/>
  <c r="F71" i="6" s="1"/>
  <c r="G71" i="6" s="1"/>
  <c r="E65" i="6"/>
  <c r="F65" i="6" s="1"/>
  <c r="G65" i="6" s="1"/>
  <c r="E59" i="6"/>
  <c r="F59" i="6" s="1"/>
  <c r="G59" i="6" s="1"/>
  <c r="E109" i="6"/>
  <c r="F109" i="6" s="1"/>
  <c r="G109" i="6" s="1"/>
  <c r="E105" i="6"/>
  <c r="F105" i="6" s="1"/>
  <c r="G105" i="6" s="1"/>
  <c r="E101" i="6"/>
  <c r="F101" i="6" s="1"/>
  <c r="G101" i="6" s="1"/>
  <c r="E98" i="6"/>
  <c r="F98" i="6" s="1"/>
  <c r="G98" i="6" s="1"/>
  <c r="E95" i="6"/>
  <c r="F95" i="6" s="1"/>
  <c r="G95" i="6" s="1"/>
  <c r="E88" i="6"/>
  <c r="F88" i="6" s="1"/>
  <c r="G88" i="6" s="1"/>
  <c r="E84" i="6"/>
  <c r="F84" i="6" s="1"/>
  <c r="G84" i="6" s="1"/>
  <c r="E80" i="6"/>
  <c r="F80" i="6" s="1"/>
  <c r="G80" i="6" s="1"/>
  <c r="E76" i="6"/>
  <c r="F76" i="6" s="1"/>
  <c r="G76" i="6" s="1"/>
  <c r="E72" i="6"/>
  <c r="F72" i="6" s="1"/>
  <c r="G72" i="6" s="1"/>
  <c r="E68" i="6"/>
  <c r="F68" i="6" s="1"/>
  <c r="G68" i="6" s="1"/>
  <c r="E66" i="6"/>
  <c r="F66" i="6" s="1"/>
  <c r="G66" i="6" s="1"/>
  <c r="E112" i="6"/>
  <c r="F112" i="6" s="1"/>
  <c r="G112" i="6" s="1"/>
  <c r="E106" i="6"/>
  <c r="F106" i="6" s="1"/>
  <c r="G106" i="6" s="1"/>
  <c r="E102" i="6"/>
  <c r="F102" i="6" s="1"/>
  <c r="G102" i="6" s="1"/>
  <c r="E96" i="6"/>
  <c r="F96" i="6" s="1"/>
  <c r="G96" i="6" s="1"/>
  <c r="E92" i="6"/>
  <c r="F92" i="6" s="1"/>
  <c r="G92" i="6" s="1"/>
  <c r="E85" i="6"/>
  <c r="F85" i="6" s="1"/>
  <c r="G85" i="6" s="1"/>
  <c r="E81" i="6"/>
  <c r="F81" i="6" s="1"/>
  <c r="G81" i="6" s="1"/>
  <c r="E77" i="6"/>
  <c r="F77" i="6" s="1"/>
  <c r="G77" i="6" s="1"/>
  <c r="E73" i="6"/>
  <c r="F73" i="6" s="1"/>
  <c r="G73" i="6" s="1"/>
  <c r="E69" i="6"/>
  <c r="F69" i="6" s="1"/>
  <c r="G69" i="6" s="1"/>
  <c r="E113" i="6"/>
  <c r="F113" i="6" s="1"/>
  <c r="G113" i="6" s="1"/>
  <c r="E110" i="6"/>
  <c r="F110" i="6" s="1"/>
  <c r="G110" i="6" s="1"/>
  <c r="E107" i="6"/>
  <c r="F107" i="6" s="1"/>
  <c r="G107" i="6" s="1"/>
  <c r="E103" i="6"/>
  <c r="F103" i="6" s="1"/>
  <c r="G103" i="6" s="1"/>
  <c r="E99" i="6"/>
  <c r="F99" i="6" s="1"/>
  <c r="G99" i="6" s="1"/>
  <c r="E93" i="6"/>
  <c r="F93" i="6" s="1"/>
  <c r="G93" i="6" s="1"/>
  <c r="E86" i="6"/>
  <c r="F86" i="6" s="1"/>
  <c r="G86" i="6" s="1"/>
  <c r="E82" i="6"/>
  <c r="F82" i="6" s="1"/>
  <c r="G82" i="6" s="1"/>
  <c r="E78" i="6"/>
  <c r="F78" i="6" s="1"/>
  <c r="G78" i="6" s="1"/>
  <c r="E74" i="6"/>
  <c r="F74" i="6" s="1"/>
  <c r="G74" i="6" s="1"/>
  <c r="E70" i="6"/>
  <c r="F70" i="6" s="1"/>
  <c r="G70" i="6" s="1"/>
  <c r="E67" i="6"/>
  <c r="F67" i="6" s="1"/>
  <c r="G67" i="6" s="1"/>
  <c r="H64" i="6"/>
  <c r="E60" i="6"/>
  <c r="F60" i="6" s="1"/>
  <c r="G60" i="6" s="1"/>
  <c r="F96" i="10"/>
  <c r="G96" i="10" s="1"/>
  <c r="H96" i="10" s="1"/>
  <c r="F95" i="10"/>
  <c r="G95" i="10" s="1"/>
  <c r="H95" i="10" s="1"/>
  <c r="H60" i="6" l="1"/>
  <c r="H92" i="6"/>
  <c r="H95" i="6"/>
  <c r="H94" i="6"/>
  <c r="H93" i="6"/>
  <c r="H96" i="6"/>
  <c r="I96" i="10"/>
  <c r="I95" i="10"/>
  <c r="D83" i="10"/>
  <c r="D84" i="10"/>
  <c r="D85" i="10"/>
  <c r="D86" i="10"/>
  <c r="D87" i="10"/>
  <c r="D88" i="10"/>
  <c r="E83" i="10"/>
  <c r="E84" i="10"/>
  <c r="E85" i="10"/>
  <c r="E86" i="10"/>
  <c r="E87" i="10"/>
  <c r="E88" i="10"/>
  <c r="D2" i="6"/>
  <c r="F87" i="10" l="1"/>
  <c r="F83" i="10"/>
  <c r="F88" i="10"/>
  <c r="F84" i="10"/>
  <c r="F85" i="10"/>
  <c r="F86" i="10"/>
  <c r="D36" i="10"/>
  <c r="D22" i="10"/>
  <c r="E22" i="10"/>
  <c r="E36" i="10"/>
  <c r="D75" i="10"/>
  <c r="E75" i="10"/>
  <c r="G84" i="10" l="1"/>
  <c r="H84" i="10" s="1"/>
  <c r="G88" i="10"/>
  <c r="H88" i="10" s="1"/>
  <c r="G86" i="10"/>
  <c r="H86" i="10" s="1"/>
  <c r="G83" i="10"/>
  <c r="H83" i="10" s="1"/>
  <c r="G85" i="10"/>
  <c r="H85" i="10" s="1"/>
  <c r="G87" i="10"/>
  <c r="H87" i="10" s="1"/>
  <c r="H85" i="6"/>
  <c r="H84" i="6"/>
  <c r="H86" i="6"/>
  <c r="H88" i="6"/>
  <c r="H87" i="6"/>
  <c r="F36" i="10"/>
  <c r="F22" i="10"/>
  <c r="F75" i="10"/>
  <c r="E70" i="10"/>
  <c r="E59" i="10"/>
  <c r="E58" i="10"/>
  <c r="E57" i="10"/>
  <c r="D70" i="10"/>
  <c r="D71" i="10"/>
  <c r="D59" i="10"/>
  <c r="D58" i="10"/>
  <c r="D57" i="10"/>
  <c r="G22" i="10" l="1"/>
  <c r="H22" i="10" s="1"/>
  <c r="I87" i="10"/>
  <c r="I83" i="10"/>
  <c r="I88" i="10"/>
  <c r="G36" i="10"/>
  <c r="H36" i="10" s="1"/>
  <c r="G75" i="10"/>
  <c r="H75" i="10" s="1"/>
  <c r="I85" i="10"/>
  <c r="I86" i="10"/>
  <c r="I84" i="10"/>
  <c r="H5" i="6"/>
  <c r="H81" i="6"/>
  <c r="H35" i="6"/>
  <c r="H83" i="6"/>
  <c r="F58" i="10"/>
  <c r="E71" i="10"/>
  <c r="F71" i="10" s="1"/>
  <c r="F59" i="10"/>
  <c r="F70" i="10"/>
  <c r="F57" i="10"/>
  <c r="D2" i="10"/>
  <c r="D3" i="10"/>
  <c r="D4" i="10"/>
  <c r="D5" i="10"/>
  <c r="D35" i="10"/>
  <c r="D98" i="10"/>
  <c r="D97" i="10"/>
  <c r="D100" i="10"/>
  <c r="D99" i="10"/>
  <c r="D107" i="10"/>
  <c r="D108" i="10"/>
  <c r="D106" i="10"/>
  <c r="D102" i="10"/>
  <c r="D103" i="10"/>
  <c r="D101" i="10"/>
  <c r="D110" i="10"/>
  <c r="D111" i="10"/>
  <c r="D109" i="10"/>
  <c r="D113" i="10"/>
  <c r="D112" i="10"/>
  <c r="D105" i="10"/>
  <c r="D104" i="10"/>
  <c r="D9" i="10"/>
  <c r="D10" i="10"/>
  <c r="D6" i="10"/>
  <c r="D14" i="10"/>
  <c r="D11" i="10"/>
  <c r="D12" i="10"/>
  <c r="D13" i="10"/>
  <c r="D7" i="10"/>
  <c r="D8" i="10"/>
  <c r="D15" i="10"/>
  <c r="D16" i="10"/>
  <c r="D17" i="10"/>
  <c r="D21" i="10"/>
  <c r="D28" i="10"/>
  <c r="D29" i="10"/>
  <c r="D33" i="10"/>
  <c r="D23" i="10"/>
  <c r="D25" i="10"/>
  <c r="D26" i="10"/>
  <c r="D27" i="10"/>
  <c r="D31" i="10"/>
  <c r="D30" i="10"/>
  <c r="D77" i="10"/>
  <c r="D32" i="10"/>
  <c r="D24" i="10"/>
  <c r="D34" i="10"/>
  <c r="D41" i="10"/>
  <c r="D37" i="10"/>
  <c r="D38" i="10"/>
  <c r="D39" i="10"/>
  <c r="D42" i="10"/>
  <c r="D43" i="10"/>
  <c r="D40" i="10"/>
  <c r="D44" i="10"/>
  <c r="D45" i="10"/>
  <c r="D46" i="10"/>
  <c r="D47" i="10"/>
  <c r="D48" i="10"/>
  <c r="D52" i="10"/>
  <c r="D53" i="10"/>
  <c r="D54" i="10"/>
  <c r="D65" i="10"/>
  <c r="D60" i="10"/>
  <c r="D61" i="10"/>
  <c r="D68" i="10"/>
  <c r="D62" i="10"/>
  <c r="D56" i="10"/>
  <c r="D49" i="10"/>
  <c r="D55" i="10"/>
  <c r="D63" i="10"/>
  <c r="D64" i="10"/>
  <c r="D66" i="10"/>
  <c r="D67" i="10"/>
  <c r="D69" i="10"/>
  <c r="D51" i="10"/>
  <c r="D50" i="10"/>
  <c r="D72" i="10"/>
  <c r="D73" i="10"/>
  <c r="D74" i="10"/>
  <c r="D76" i="10"/>
  <c r="D81" i="10"/>
  <c r="D82" i="10"/>
  <c r="D78" i="10"/>
  <c r="D79" i="10"/>
  <c r="D80" i="10"/>
  <c r="I75" i="10" l="1"/>
  <c r="I36" i="10"/>
  <c r="G70" i="10"/>
  <c r="H70" i="10" s="1"/>
  <c r="G59" i="10"/>
  <c r="H59" i="10" s="1"/>
  <c r="G71" i="10"/>
  <c r="H71" i="10" s="1"/>
  <c r="G57" i="10"/>
  <c r="H57" i="10" s="1"/>
  <c r="G58" i="10"/>
  <c r="H58" i="10" s="1"/>
  <c r="I22" i="10"/>
  <c r="E74" i="10"/>
  <c r="F74" i="10" s="1"/>
  <c r="E73" i="10"/>
  <c r="F73" i="10" s="1"/>
  <c r="G73" i="10" s="1"/>
  <c r="H73" i="10" s="1"/>
  <c r="E50" i="10"/>
  <c r="F50" i="10" s="1"/>
  <c r="E51" i="10"/>
  <c r="F51" i="10" s="1"/>
  <c r="E72" i="10"/>
  <c r="F72" i="10" s="1"/>
  <c r="E98" i="10"/>
  <c r="E97" i="10"/>
  <c r="E100" i="10"/>
  <c r="E99" i="10"/>
  <c r="E107" i="10"/>
  <c r="E108" i="10"/>
  <c r="E106" i="10"/>
  <c r="E102" i="10"/>
  <c r="E103" i="10"/>
  <c r="E101" i="10"/>
  <c r="E110" i="10"/>
  <c r="E111" i="10"/>
  <c r="E109" i="10"/>
  <c r="E113" i="10"/>
  <c r="E112" i="10"/>
  <c r="E105" i="10"/>
  <c r="E104" i="10"/>
  <c r="G74" i="10" l="1"/>
  <c r="H74" i="10" s="1"/>
  <c r="G51" i="10"/>
  <c r="H51" i="10" s="1"/>
  <c r="I57" i="10"/>
  <c r="I59" i="10"/>
  <c r="G72" i="10"/>
  <c r="H72" i="10" s="1"/>
  <c r="G50" i="10"/>
  <c r="H50" i="10" s="1"/>
  <c r="I58" i="10"/>
  <c r="I71" i="10"/>
  <c r="I70" i="10"/>
  <c r="H80" i="6"/>
  <c r="H78" i="6"/>
  <c r="H79" i="6"/>
  <c r="H82" i="6"/>
  <c r="I73" i="10"/>
  <c r="F108" i="10"/>
  <c r="F113" i="10"/>
  <c r="G113" i="10" s="1"/>
  <c r="H113" i="10" s="1"/>
  <c r="F110" i="10"/>
  <c r="F106" i="10"/>
  <c r="F100" i="10"/>
  <c r="G100" i="10" s="1"/>
  <c r="H100" i="10" s="1"/>
  <c r="F104" i="10"/>
  <c r="F112" i="10"/>
  <c r="G112" i="10" s="1"/>
  <c r="H112" i="10" s="1"/>
  <c r="F105" i="10"/>
  <c r="F102" i="10"/>
  <c r="F99" i="10"/>
  <c r="G99" i="10" s="1"/>
  <c r="H99" i="10" s="1"/>
  <c r="F98" i="10"/>
  <c r="G98" i="10" s="1"/>
  <c r="H98" i="10" s="1"/>
  <c r="F109" i="10"/>
  <c r="F107" i="10"/>
  <c r="F111" i="10"/>
  <c r="G111" i="10" s="1"/>
  <c r="H111" i="10" s="1"/>
  <c r="F101" i="10"/>
  <c r="F103" i="10"/>
  <c r="F97" i="10"/>
  <c r="G97" i="10" s="1"/>
  <c r="H97" i="10" s="1"/>
  <c r="E29" i="10"/>
  <c r="E33" i="10"/>
  <c r="E23" i="10"/>
  <c r="E25" i="10"/>
  <c r="E26" i="10"/>
  <c r="E31" i="10"/>
  <c r="E77" i="10"/>
  <c r="E27" i="10"/>
  <c r="E44" i="10"/>
  <c r="E46" i="10"/>
  <c r="E47" i="10"/>
  <c r="E52" i="10"/>
  <c r="E53" i="10"/>
  <c r="E54" i="10"/>
  <c r="E60" i="10"/>
  <c r="E68" i="10"/>
  <c r="E63" i="10"/>
  <c r="E64" i="10"/>
  <c r="E66" i="10"/>
  <c r="E56" i="10"/>
  <c r="E67" i="10"/>
  <c r="E62" i="10"/>
  <c r="E65" i="10"/>
  <c r="E2" i="10"/>
  <c r="E4" i="10"/>
  <c r="E6" i="10"/>
  <c r="E9" i="10"/>
  <c r="E12" i="10"/>
  <c r="E13" i="10"/>
  <c r="E34" i="10"/>
  <c r="E35" i="10"/>
  <c r="E37" i="10"/>
  <c r="E38" i="10"/>
  <c r="E39" i="10"/>
  <c r="E14" i="10"/>
  <c r="E7" i="10"/>
  <c r="E42" i="10"/>
  <c r="E43" i="10"/>
  <c r="E8" i="10"/>
  <c r="E41" i="10"/>
  <c r="E11" i="10"/>
  <c r="E15" i="10"/>
  <c r="E16" i="10"/>
  <c r="E79" i="10"/>
  <c r="E76" i="10"/>
  <c r="E78" i="10"/>
  <c r="E81" i="10"/>
  <c r="E82" i="10"/>
  <c r="E45" i="10"/>
  <c r="E48" i="10"/>
  <c r="E61" i="10"/>
  <c r="E80" i="10"/>
  <c r="E10" i="10"/>
  <c r="E3" i="10"/>
  <c r="E5" i="10"/>
  <c r="E17" i="10"/>
  <c r="E30" i="10"/>
  <c r="E49" i="10"/>
  <c r="E55" i="10"/>
  <c r="E40" i="10"/>
  <c r="E21" i="10"/>
  <c r="G107" i="10" l="1"/>
  <c r="H107" i="10" s="1"/>
  <c r="G102" i="10"/>
  <c r="H102" i="10" s="1"/>
  <c r="G108" i="10"/>
  <c r="H108" i="10" s="1"/>
  <c r="I72" i="10"/>
  <c r="I51" i="10"/>
  <c r="G104" i="10"/>
  <c r="H104" i="10" s="1"/>
  <c r="G103" i="10"/>
  <c r="H103" i="10" s="1"/>
  <c r="G109" i="10"/>
  <c r="H109" i="10" s="1"/>
  <c r="G105" i="10"/>
  <c r="H105" i="10" s="1"/>
  <c r="G106" i="10"/>
  <c r="H106" i="10" s="1"/>
  <c r="G101" i="10"/>
  <c r="H101" i="10" s="1"/>
  <c r="G110" i="10"/>
  <c r="H110" i="10" s="1"/>
  <c r="I50" i="10"/>
  <c r="I74" i="10"/>
  <c r="H111" i="6"/>
  <c r="H72" i="6"/>
  <c r="H100" i="6"/>
  <c r="H98" i="6"/>
  <c r="H73" i="6"/>
  <c r="H77" i="6"/>
  <c r="H108" i="6"/>
  <c r="H75" i="6"/>
  <c r="H104" i="6"/>
  <c r="H76" i="6"/>
  <c r="H74" i="6"/>
  <c r="H110" i="6"/>
  <c r="H113" i="6"/>
  <c r="H112" i="6"/>
  <c r="H109" i="6"/>
  <c r="E24" i="10"/>
  <c r="F24" i="10" s="1"/>
  <c r="E69" i="10"/>
  <c r="F69" i="10" s="1"/>
  <c r="I97" i="10"/>
  <c r="F120" i="10"/>
  <c r="E32" i="10"/>
  <c r="F32" i="10" s="1"/>
  <c r="I100" i="10"/>
  <c r="I98" i="10"/>
  <c r="I99" i="10"/>
  <c r="I113" i="10"/>
  <c r="I111" i="10"/>
  <c r="I112" i="10"/>
  <c r="I101" i="10" l="1"/>
  <c r="I105" i="10"/>
  <c r="I103" i="10"/>
  <c r="I102" i="10"/>
  <c r="G32" i="10"/>
  <c r="H32" i="10" s="1"/>
  <c r="G24" i="10"/>
  <c r="H24" i="10" s="1"/>
  <c r="G69" i="10"/>
  <c r="H69" i="10" s="1"/>
  <c r="I110" i="10"/>
  <c r="I106" i="10"/>
  <c r="I109" i="10"/>
  <c r="I104" i="10"/>
  <c r="I108" i="10"/>
  <c r="I107" i="10"/>
  <c r="H99" i="6"/>
  <c r="H101" i="6"/>
  <c r="H107" i="6"/>
  <c r="H105" i="6"/>
  <c r="H102" i="6"/>
  <c r="H106" i="6"/>
  <c r="H103" i="6"/>
  <c r="H97" i="6"/>
  <c r="I120" i="10" l="1"/>
  <c r="I24" i="10"/>
  <c r="I69" i="10"/>
  <c r="I32" i="10"/>
  <c r="H70" i="6"/>
  <c r="H69" i="6"/>
  <c r="H71" i="6"/>
  <c r="F23" i="10"/>
  <c r="G23" i="10" s="1"/>
  <c r="H23" i="10" s="1"/>
  <c r="H117" i="10" l="1"/>
  <c r="I23" i="10" l="1"/>
  <c r="F2" i="10"/>
  <c r="G2" i="10" s="1"/>
  <c r="F80" i="10"/>
  <c r="G80" i="10" s="1"/>
  <c r="H80" i="10" s="1"/>
  <c r="F3" i="10" l="1"/>
  <c r="F38" i="10"/>
  <c r="F63" i="10"/>
  <c r="F10" i="10"/>
  <c r="F78" i="10"/>
  <c r="F37" i="10"/>
  <c r="F68" i="10"/>
  <c r="F27" i="10"/>
  <c r="F8" i="10"/>
  <c r="F65" i="10"/>
  <c r="F77" i="10"/>
  <c r="F49" i="10"/>
  <c r="F61" i="10"/>
  <c r="F79" i="10"/>
  <c r="F43" i="10"/>
  <c r="F34" i="10"/>
  <c r="F62" i="10"/>
  <c r="F54" i="10"/>
  <c r="G54" i="10" s="1"/>
  <c r="H54" i="10" s="1"/>
  <c r="F31" i="10"/>
  <c r="F40" i="10"/>
  <c r="F55" i="10"/>
  <c r="F76" i="10"/>
  <c r="F35" i="10"/>
  <c r="F60" i="10"/>
  <c r="F30" i="10"/>
  <c r="F48" i="10"/>
  <c r="F16" i="10"/>
  <c r="F42" i="10"/>
  <c r="F13" i="10"/>
  <c r="F67" i="10"/>
  <c r="F53" i="10"/>
  <c r="F26" i="10"/>
  <c r="F17" i="10"/>
  <c r="F15" i="10"/>
  <c r="F25" i="10"/>
  <c r="F45" i="10"/>
  <c r="F7" i="10"/>
  <c r="F12" i="10"/>
  <c r="F56" i="10"/>
  <c r="F52" i="10"/>
  <c r="F21" i="10"/>
  <c r="F82" i="10"/>
  <c r="F11" i="10"/>
  <c r="F14" i="10"/>
  <c r="F9" i="10"/>
  <c r="F66" i="10"/>
  <c r="F47" i="10"/>
  <c r="F5" i="10"/>
  <c r="G5" i="10" s="1"/>
  <c r="H5" i="10" s="1"/>
  <c r="F81" i="10"/>
  <c r="F41" i="10"/>
  <c r="F39" i="10"/>
  <c r="F6" i="10"/>
  <c r="F64" i="10"/>
  <c r="F46" i="10"/>
  <c r="F33" i="10"/>
  <c r="F4" i="10"/>
  <c r="F44" i="10"/>
  <c r="F29" i="10"/>
  <c r="G65" i="10" l="1"/>
  <c r="H65" i="10" s="1"/>
  <c r="G37" i="10"/>
  <c r="H37" i="10" s="1"/>
  <c r="G44" i="10"/>
  <c r="H44" i="10" s="1"/>
  <c r="G81" i="10"/>
  <c r="H81" i="10" s="1"/>
  <c r="G9" i="10"/>
  <c r="H9" i="10" s="1"/>
  <c r="G21" i="10"/>
  <c r="H21" i="10" s="1"/>
  <c r="G7" i="10"/>
  <c r="H7" i="10" s="1"/>
  <c r="G17" i="10"/>
  <c r="H17" i="10" s="1"/>
  <c r="G13" i="10"/>
  <c r="H13" i="10" s="1"/>
  <c r="G30" i="10"/>
  <c r="H30" i="10" s="1"/>
  <c r="G55" i="10"/>
  <c r="H55" i="10" s="1"/>
  <c r="G62" i="10"/>
  <c r="H62" i="10" s="1"/>
  <c r="G61" i="10"/>
  <c r="H61" i="10" s="1"/>
  <c r="G8" i="10"/>
  <c r="H8" i="10" s="1"/>
  <c r="G78" i="10"/>
  <c r="H78" i="10" s="1"/>
  <c r="G38" i="10"/>
  <c r="H38" i="10" s="1"/>
  <c r="G29" i="10"/>
  <c r="H29" i="10" s="1"/>
  <c r="G46" i="10"/>
  <c r="H46" i="10" s="1"/>
  <c r="G41" i="10"/>
  <c r="H41" i="10" s="1"/>
  <c r="G66" i="10"/>
  <c r="H66" i="10" s="1"/>
  <c r="G82" i="10"/>
  <c r="H82" i="10" s="1"/>
  <c r="G12" i="10"/>
  <c r="H12" i="10" s="1"/>
  <c r="G15" i="10"/>
  <c r="H15" i="10" s="1"/>
  <c r="G67" i="10"/>
  <c r="H67" i="10" s="1"/>
  <c r="G48" i="10"/>
  <c r="H48" i="10" s="1"/>
  <c r="G76" i="10"/>
  <c r="H76" i="10" s="1"/>
  <c r="G79" i="10"/>
  <c r="H79" i="10" s="1"/>
  <c r="G63" i="10"/>
  <c r="H63" i="10" s="1"/>
  <c r="G64" i="10"/>
  <c r="H64" i="10" s="1"/>
  <c r="G4" i="10"/>
  <c r="H4" i="10" s="1"/>
  <c r="G6" i="10"/>
  <c r="H6" i="10" s="1"/>
  <c r="G14" i="10"/>
  <c r="H14" i="10" s="1"/>
  <c r="G45" i="10"/>
  <c r="H45" i="10" s="1"/>
  <c r="G26" i="10"/>
  <c r="H26" i="10" s="1"/>
  <c r="G42" i="10"/>
  <c r="H42" i="10" s="1"/>
  <c r="G60" i="10"/>
  <c r="H60" i="10" s="1"/>
  <c r="G40" i="10"/>
  <c r="H40" i="10" s="1"/>
  <c r="G34" i="10"/>
  <c r="H34" i="10" s="1"/>
  <c r="G49" i="10"/>
  <c r="H49" i="10" s="1"/>
  <c r="G27" i="10"/>
  <c r="H27" i="10" s="1"/>
  <c r="G10" i="10"/>
  <c r="H10" i="10" s="1"/>
  <c r="G3" i="10"/>
  <c r="G52" i="10"/>
  <c r="H52" i="10" s="1"/>
  <c r="G33" i="10"/>
  <c r="H33" i="10" s="1"/>
  <c r="G39" i="10"/>
  <c r="H39" i="10" s="1"/>
  <c r="G47" i="10"/>
  <c r="H47" i="10" s="1"/>
  <c r="G11" i="10"/>
  <c r="H11" i="10" s="1"/>
  <c r="G56" i="10"/>
  <c r="H56" i="10" s="1"/>
  <c r="G25" i="10"/>
  <c r="H25" i="10" s="1"/>
  <c r="G53" i="10"/>
  <c r="H53" i="10" s="1"/>
  <c r="G16" i="10"/>
  <c r="H16" i="10" s="1"/>
  <c r="G35" i="10"/>
  <c r="H35" i="10" s="1"/>
  <c r="G31" i="10"/>
  <c r="H31" i="10" s="1"/>
  <c r="G43" i="10"/>
  <c r="H43" i="10" s="1"/>
  <c r="G77" i="10"/>
  <c r="H77" i="10" s="1"/>
  <c r="G68" i="10"/>
  <c r="H68" i="10" s="1"/>
  <c r="I54" i="10"/>
  <c r="I5" i="10"/>
  <c r="I80" i="10"/>
  <c r="H2" i="10"/>
  <c r="H3" i="10" l="1"/>
  <c r="I3" i="10" s="1"/>
  <c r="I68" i="10"/>
  <c r="I56" i="10"/>
  <c r="I14" i="10"/>
  <c r="I43" i="10"/>
  <c r="I35" i="10"/>
  <c r="I53" i="10"/>
  <c r="I47" i="10"/>
  <c r="I33" i="10"/>
  <c r="I27" i="10"/>
  <c r="I34" i="10"/>
  <c r="I60" i="10"/>
  <c r="I26" i="10"/>
  <c r="I4" i="10"/>
  <c r="I63" i="10"/>
  <c r="I76" i="10"/>
  <c r="I67" i="10"/>
  <c r="I12" i="10"/>
  <c r="I66" i="10"/>
  <c r="I46" i="10"/>
  <c r="I38" i="10"/>
  <c r="I8" i="10"/>
  <c r="I62" i="10"/>
  <c r="I30" i="10"/>
  <c r="I17" i="10"/>
  <c r="I21" i="10"/>
  <c r="I81" i="10"/>
  <c r="I37" i="10"/>
  <c r="I77" i="10"/>
  <c r="I31" i="10"/>
  <c r="I16" i="10"/>
  <c r="I25" i="10"/>
  <c r="I11" i="10"/>
  <c r="I39" i="10"/>
  <c r="I52" i="10"/>
  <c r="I10" i="10"/>
  <c r="I49" i="10"/>
  <c r="I40" i="10"/>
  <c r="I42" i="10"/>
  <c r="I45" i="10"/>
  <c r="I6" i="10"/>
  <c r="I64" i="10"/>
  <c r="I79" i="10"/>
  <c r="I48" i="10"/>
  <c r="I15" i="10"/>
  <c r="I82" i="10"/>
  <c r="I41" i="10"/>
  <c r="I29" i="10"/>
  <c r="I78" i="10"/>
  <c r="I61" i="10"/>
  <c r="I55" i="10"/>
  <c r="I13" i="10"/>
  <c r="I7" i="10"/>
  <c r="I9" i="10"/>
  <c r="I44" i="10"/>
  <c r="I65" i="10"/>
  <c r="I2" i="10"/>
  <c r="G118" i="6"/>
  <c r="G119" i="6"/>
  <c r="G120" i="6"/>
  <c r="G116" i="10" l="1"/>
  <c r="I116" i="10" s="1"/>
  <c r="H57" i="6"/>
  <c r="H46" i="6"/>
  <c r="H36" i="6"/>
  <c r="H23" i="6"/>
  <c r="H11" i="6"/>
  <c r="H68" i="6"/>
  <c r="H66" i="6"/>
  <c r="H56" i="6"/>
  <c r="H52" i="6"/>
  <c r="H49" i="6"/>
  <c r="H45" i="6"/>
  <c r="H43" i="6"/>
  <c r="H39" i="6"/>
  <c r="H34" i="6"/>
  <c r="H30" i="6"/>
  <c r="H26" i="6"/>
  <c r="H22" i="6"/>
  <c r="H18" i="6"/>
  <c r="H14" i="6"/>
  <c r="H10" i="6"/>
  <c r="H6" i="6"/>
  <c r="H50" i="6"/>
  <c r="H40" i="6"/>
  <c r="H27" i="6"/>
  <c r="H15" i="6"/>
  <c r="H65" i="6"/>
  <c r="H59" i="6"/>
  <c r="H55" i="6"/>
  <c r="H51" i="6"/>
  <c r="H48" i="6"/>
  <c r="H44" i="6"/>
  <c r="H42" i="6"/>
  <c r="H38" i="6"/>
  <c r="H33" i="6"/>
  <c r="H29" i="6"/>
  <c r="H25" i="6"/>
  <c r="H21" i="6"/>
  <c r="H17" i="6"/>
  <c r="H13" i="6"/>
  <c r="H9" i="6"/>
  <c r="H4" i="6"/>
  <c r="H53" i="6"/>
  <c r="H31" i="6"/>
  <c r="H19" i="6"/>
  <c r="H7" i="6"/>
  <c r="H67" i="6"/>
  <c r="H58" i="6"/>
  <c r="H54" i="6"/>
  <c r="H47" i="6"/>
  <c r="H41" i="6"/>
  <c r="H37" i="6"/>
  <c r="H32" i="6"/>
  <c r="H28" i="6"/>
  <c r="H24" i="6"/>
  <c r="H20" i="6"/>
  <c r="H16" i="6"/>
  <c r="H12" i="6"/>
  <c r="H8" i="6"/>
  <c r="H3" i="6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1" i="8"/>
  <c r="F117" i="6" l="1"/>
  <c r="H117" i="6" s="1"/>
  <c r="C119" i="6" l="1"/>
  <c r="E2" i="6"/>
  <c r="E121" i="6" s="1"/>
  <c r="H121" i="6" s="1"/>
  <c r="E28" i="10"/>
  <c r="F28" i="10" s="1"/>
  <c r="G28" i="10" s="1"/>
  <c r="H28" i="10" l="1"/>
  <c r="H115" i="10" s="1"/>
  <c r="G115" i="10"/>
  <c r="F2" i="6"/>
  <c r="F119" i="10"/>
  <c r="F121" i="10" s="1"/>
  <c r="G2" i="6" l="1"/>
  <c r="G116" i="6" s="1"/>
  <c r="F116" i="6"/>
  <c r="H116" i="6" l="1"/>
  <c r="H118" i="6" s="1"/>
  <c r="H2" i="6"/>
  <c r="I115" i="10"/>
  <c r="I117" i="10" s="1"/>
  <c r="I28" i="10"/>
  <c r="I119" i="10" s="1"/>
  <c r="I121" i="10" s="1"/>
</calcChain>
</file>

<file path=xl/sharedStrings.xml><?xml version="1.0" encoding="utf-8"?>
<sst xmlns="http://schemas.openxmlformats.org/spreadsheetml/2006/main" count="2133" uniqueCount="632">
  <si>
    <t xml:space="preserve">                                        </t>
  </si>
  <si>
    <t>DESCUENTO 0</t>
  </si>
  <si>
    <t xml:space="preserve">CRIOLLO 8.34% </t>
  </si>
  <si>
    <t>DESCUENTOS 7.39%</t>
  </si>
  <si>
    <t>DESCUENTOS 5.5%</t>
  </si>
  <si>
    <t xml:space="preserve">TOTAL DE UNIDADES A DESPACHAR </t>
  </si>
  <si>
    <t>Pedido</t>
  </si>
  <si>
    <t>NO IMPRIMIR LO DE ABAJO</t>
  </si>
  <si>
    <t xml:space="preserve">TOTAL CAJAS DESPACHO </t>
  </si>
  <si>
    <t>TOTAL</t>
  </si>
  <si>
    <t>IVA</t>
  </si>
  <si>
    <t>SUBTOTAL</t>
  </si>
  <si>
    <t>USD</t>
  </si>
  <si>
    <t>DESCTO.</t>
  </si>
  <si>
    <t>VALOR</t>
  </si>
  <si>
    <t>UNIDAD</t>
  </si>
  <si>
    <t>UND</t>
  </si>
  <si>
    <t>PRODUCTO</t>
  </si>
  <si>
    <t>COD.</t>
  </si>
  <si>
    <t># CAJAS</t>
  </si>
  <si>
    <t>C. AGRIA 200 GR (UN)</t>
  </si>
  <si>
    <t>CREMA 450 GR (UN)</t>
  </si>
  <si>
    <t>Q. AMERICANO Reb 200 GR (UN)</t>
  </si>
  <si>
    <t>Q. ANDINO 375 GR (UN)</t>
  </si>
  <si>
    <t>Q. CHEDDAR Reb BEG 300 GR (UN)</t>
  </si>
  <si>
    <t>Q. CHEDDAR BEG Bloq 200 GR (UN)</t>
  </si>
  <si>
    <t>Q. CHEDDAR Bloq 200 GR (UN)</t>
  </si>
  <si>
    <t>Q. CHEDDAR DESLACT Bloq 200 GR (UN)</t>
  </si>
  <si>
    <t>Q. CHEDDAR Reb DESLACT 200 GR (UN)</t>
  </si>
  <si>
    <t>Q. CHEDDAR Reb 200 GR (UN)</t>
  </si>
  <si>
    <t>Q. CHEDDAR Reb 400 GR (UN)</t>
  </si>
  <si>
    <t>Q. CHEDDAR Reb 700 GR (UN)</t>
  </si>
  <si>
    <t>Q. CHEDDAR UNTABLE 200 GR (UN)</t>
  </si>
  <si>
    <t>Q. CRIOLLO UNTABLE 200 GR (UN)</t>
  </si>
  <si>
    <t>Q. DANBO Bloq 200 GR (UN)</t>
  </si>
  <si>
    <t>Q. FRESCO 500 GR (UN)</t>
  </si>
  <si>
    <t>Q. FRESCO 700 GR (UN)</t>
  </si>
  <si>
    <t>Q. FRESCO BEG 450 GR (UN)</t>
  </si>
  <si>
    <t>Q. FRESCO BEG 700 GR (UN)</t>
  </si>
  <si>
    <t>Q. FRESCO DESLACT 450 GR (UN)</t>
  </si>
  <si>
    <t>Q. CRIOLLO 400 GR (UN)</t>
  </si>
  <si>
    <t>Q. CRIOLLO 700 GR (UN)</t>
  </si>
  <si>
    <t>Q. F DE MESA 350 GR (UN)</t>
  </si>
  <si>
    <t>Q. MANABA 400 GR (UN)</t>
  </si>
  <si>
    <t>Q. GOUDA 300 GR (UN)</t>
  </si>
  <si>
    <t>Q. HOLANDES Reb 400 GR (UN)</t>
  </si>
  <si>
    <t>Q. HOLANDES BEG Bloq 400 GR (UN)</t>
  </si>
  <si>
    <t>Q. HOLANDES Reb BEG 300 GR (UN)</t>
  </si>
  <si>
    <t>Q. HOLANDES BEG Bloq 200 GR (UN)</t>
  </si>
  <si>
    <t>Q. HOLANDES Bloq 200 GR (UN)</t>
  </si>
  <si>
    <t>Q. HOLANDES DESLACT Bloq 200 GR (UN)</t>
  </si>
  <si>
    <t>Q. HOLANDES Reb DESLACT 200 GR (UN)</t>
  </si>
  <si>
    <t>Q. HOLANDES Reb 200 GR (UN)</t>
  </si>
  <si>
    <t>Q. HOLANDES Reb 700 GR (UN)</t>
  </si>
  <si>
    <t>Q. MASCARPONE 200 GR (UN)</t>
  </si>
  <si>
    <t>Q. MOZZ BEG 200 GR (UN)</t>
  </si>
  <si>
    <t>Q. MOZZ BEG 500 GR (UN)</t>
  </si>
  <si>
    <t>Q. MOZZ BEG 700 GR (UN)</t>
  </si>
  <si>
    <t>Q. MOZZ Rallado BEG 300 GR (UN)</t>
  </si>
  <si>
    <t>Q. MOZZ Reb BEG 300 GR (UN)</t>
  </si>
  <si>
    <t>Q. MOZZ DESLACT 500 GR (UN)</t>
  </si>
  <si>
    <t>Q. MOZZ Reb DESLACT 200 GR (UN)</t>
  </si>
  <si>
    <t>Q. MOZZ 350 GR (UN)</t>
  </si>
  <si>
    <t>Q. MOZZ LA ORIGINAL 450 GR (UN)</t>
  </si>
  <si>
    <t>Q. MOZZ Rallado 300 GR (UN)</t>
  </si>
  <si>
    <t>Q. MOZZ PIZZA 400 GR (UN)</t>
  </si>
  <si>
    <t>Q. MOZZ Reb 200 GR (UN)</t>
  </si>
  <si>
    <t>Q. MOZZ Reb 400 GR (UN)</t>
  </si>
  <si>
    <t>Q. MOZZ 1KG (KG)</t>
  </si>
  <si>
    <t>Q. MOZZ 200 GR (UN)</t>
  </si>
  <si>
    <t>Q. MOZZ 500 GR RECT (UN)</t>
  </si>
  <si>
    <t>Q. MOZZ 700 GR (UN)</t>
  </si>
  <si>
    <t>Q. MOZZ 500 GR REDONDO (UN)</t>
  </si>
  <si>
    <t>Q. RICOTA 500 GR (UN)</t>
  </si>
  <si>
    <t>Q. RICOTA UNTABLE 200 GR (UN)</t>
  </si>
  <si>
    <t>Q. RICOTA UNTABLE 400 GR (UN)</t>
  </si>
  <si>
    <t>Q. TIERNO 480 GR (UN)</t>
  </si>
  <si>
    <t>Q. MIX CHE Y HOL Reb 700 GR (UN)</t>
  </si>
  <si>
    <t>Q. MOZZ 900 GR (UN)</t>
  </si>
  <si>
    <t>Q. MOZZ LA ORIGINAL 900 GR (UN)</t>
  </si>
  <si>
    <t xml:space="preserve">QUESO MASCARPONE 400 GR       </t>
  </si>
  <si>
    <t>QUESO CHEDDAR 375 GR</t>
  </si>
  <si>
    <t>QUESO AMERICANO REBANADO 400 GR</t>
  </si>
  <si>
    <t>QUESO ANDINO 700 GR</t>
  </si>
  <si>
    <t>CREMA LECHE SIN LACTOSA 200GR</t>
  </si>
  <si>
    <t>SAN ENRIQUE Q.FRESCO CREMOSO</t>
  </si>
  <si>
    <t>SAN ENRIQUE Q.MOZZARELLA</t>
  </si>
  <si>
    <t>SAN ENRIQUE Q.MOZZARELLA BAJO</t>
  </si>
  <si>
    <t>SAN ENRIQUE Q HOLANDES REBANAD</t>
  </si>
  <si>
    <t>SAN ENRIQUE CREMA AGRIA</t>
  </si>
  <si>
    <t>T</t>
  </si>
  <si>
    <t>FAM</t>
  </si>
  <si>
    <t>AME REB 200G</t>
  </si>
  <si>
    <t>AME REB 400G</t>
  </si>
  <si>
    <t>ANDINO 375G</t>
  </si>
  <si>
    <t>ANDINO 700G</t>
  </si>
  <si>
    <t>GOUDA 300G</t>
  </si>
  <si>
    <t>CHE 200G</t>
  </si>
  <si>
    <t>CHE 375G</t>
  </si>
  <si>
    <t>CHE BEG 200G</t>
  </si>
  <si>
    <t>CHE REB 200G</t>
  </si>
  <si>
    <t>CHE REB 400G</t>
  </si>
  <si>
    <t>CHE REB 700G</t>
  </si>
  <si>
    <t>CHE REB BEG 300G</t>
  </si>
  <si>
    <t>CHE REB SL 200G</t>
  </si>
  <si>
    <t>MIX 700G</t>
  </si>
  <si>
    <t>C. AGRIA 200G</t>
  </si>
  <si>
    <t>CDL 450G</t>
  </si>
  <si>
    <t>CDL SL 200G</t>
  </si>
  <si>
    <t>SE SALSA CREMA 180G</t>
  </si>
  <si>
    <t>CRIOLLO 400G</t>
  </si>
  <si>
    <t>CRIOLLO 700G</t>
  </si>
  <si>
    <t>F DE MESA 350G</t>
  </si>
  <si>
    <t>FRESCO 700G</t>
  </si>
  <si>
    <t>FRESCO BEG 450G</t>
  </si>
  <si>
    <t>FRESCO BEG 700G</t>
  </si>
  <si>
    <t>FRESCO SL 450G</t>
  </si>
  <si>
    <t>MANABA 400G</t>
  </si>
  <si>
    <t>SE CREMOSO 380G</t>
  </si>
  <si>
    <t>TIERNO 480G</t>
  </si>
  <si>
    <t>DANBO 200G</t>
  </si>
  <si>
    <t>HOL BEG 400G</t>
  </si>
  <si>
    <t>HOL REB 200G</t>
  </si>
  <si>
    <t>HOL REB 400G</t>
  </si>
  <si>
    <t>HOL REB 700G</t>
  </si>
  <si>
    <t>HOL REB BEG 300G</t>
  </si>
  <si>
    <t>HOL REB SL 200G</t>
  </si>
  <si>
    <t>SE HOL REB 160G</t>
  </si>
  <si>
    <t>MOZ 200G</t>
  </si>
  <si>
    <t>MOZ 350G</t>
  </si>
  <si>
    <t>MOZ 500G RED</t>
  </si>
  <si>
    <t>MOZ 700G</t>
  </si>
  <si>
    <t>MOZ 900G</t>
  </si>
  <si>
    <t>MOZ BEG 200G</t>
  </si>
  <si>
    <t>MOZ BEG 500G</t>
  </si>
  <si>
    <t>MOZ BEG 700G</t>
  </si>
  <si>
    <t>MOZ LO 450G</t>
  </si>
  <si>
    <t>MOZ LO 900G</t>
  </si>
  <si>
    <t>MOZ REB 200G</t>
  </si>
  <si>
    <t>MOZ REB 400G</t>
  </si>
  <si>
    <t>MOZ REB BEG 300G</t>
  </si>
  <si>
    <t>MOZ REB SL 200G</t>
  </si>
  <si>
    <t>MOZ SL 500G</t>
  </si>
  <si>
    <t>SE MOZ 400G</t>
  </si>
  <si>
    <t>SE MOZ BEG 400G</t>
  </si>
  <si>
    <t>MOZ BEG RALL 300G</t>
  </si>
  <si>
    <t>MOZ PIZ 400G</t>
  </si>
  <si>
    <t>MOZ RALL 300G</t>
  </si>
  <si>
    <t>RIC UNT 200G</t>
  </si>
  <si>
    <t>RIC UNT 400G</t>
  </si>
  <si>
    <t>CHE UNT 200G</t>
  </si>
  <si>
    <t>MASC 200G</t>
  </si>
  <si>
    <t>MASC 400G</t>
  </si>
  <si>
    <t>7861033001982</t>
  </si>
  <si>
    <t>7861033001623</t>
  </si>
  <si>
    <t>QUESO MANABA 700G</t>
  </si>
  <si>
    <t>QUESO MOZZ PIZZA MADURO 700</t>
  </si>
  <si>
    <t>SAN ENRIQUE QUESO CREMOSO 650G</t>
  </si>
  <si>
    <t>Q. MANABA 700G</t>
  </si>
  <si>
    <t>Q. MOZZ PIZZA MADURO 700</t>
  </si>
  <si>
    <t>7861033002361</t>
  </si>
  <si>
    <t>7861033002378</t>
  </si>
  <si>
    <t>7861033002385</t>
  </si>
  <si>
    <t>7861033002392</t>
  </si>
  <si>
    <t>7861033002408</t>
  </si>
  <si>
    <t>7861033002415</t>
  </si>
  <si>
    <t>7861033002422</t>
  </si>
  <si>
    <t>7861033002439</t>
  </si>
  <si>
    <t>7861033002446</t>
  </si>
  <si>
    <t>7861033002453</t>
  </si>
  <si>
    <t>7861033002460</t>
  </si>
  <si>
    <t>7861033002477</t>
  </si>
  <si>
    <t>7861033002248</t>
  </si>
  <si>
    <t>7861033002255</t>
  </si>
  <si>
    <t>7861033002262</t>
  </si>
  <si>
    <t>7861033002309</t>
  </si>
  <si>
    <t>7861033002316</t>
  </si>
  <si>
    <t>7861033002323</t>
  </si>
  <si>
    <t>7861033002330</t>
  </si>
  <si>
    <t>7861033002347</t>
  </si>
  <si>
    <t>7861033002354</t>
  </si>
  <si>
    <t xml:space="preserve"> YOG. FRUTIMORA 180G</t>
  </si>
  <si>
    <t xml:space="preserve"> YOG. FRUTIMORA 900G</t>
  </si>
  <si>
    <t xml:space="preserve"> YOG. FRUTIMORA 1600G</t>
  </si>
  <si>
    <t xml:space="preserve"> YOG. FRUTIMORA LIGHT 180G</t>
  </si>
  <si>
    <t>YOG. FRUTIMORA LIGHT 900G</t>
  </si>
  <si>
    <t xml:space="preserve">  YOG. FRUTIMORA LIGHT 1600G</t>
  </si>
  <si>
    <t xml:space="preserve">  YOG. MARACUMANGO 180G</t>
  </si>
  <si>
    <t xml:space="preserve">  YOG. MARACUMANGO 900G</t>
  </si>
  <si>
    <t xml:space="preserve">  YOG. MARACUMANGO 1600G</t>
  </si>
  <si>
    <t xml:space="preserve">  YOG. MARACUMANGO LIG 180G</t>
  </si>
  <si>
    <t xml:space="preserve">  YOG. MARACUMANGO LIG 900G</t>
  </si>
  <si>
    <t xml:space="preserve">  YOG. MARACUMANGO LIG 1600G</t>
  </si>
  <si>
    <t xml:space="preserve">  YOG. NATURAL 180G</t>
  </si>
  <si>
    <t xml:space="preserve">  YOG. NATURAL 900G</t>
  </si>
  <si>
    <t xml:space="preserve">  YOG. NATURAL 1600G</t>
  </si>
  <si>
    <t xml:space="preserve">  YOG. VAINILLA 180G</t>
  </si>
  <si>
    <t xml:space="preserve">  YOG. VAINILLA 900G</t>
  </si>
  <si>
    <t xml:space="preserve">  YOG. VAINILLA 1600G</t>
  </si>
  <si>
    <t xml:space="preserve">  YOG. VAINILLA LIGHT 180G</t>
  </si>
  <si>
    <t xml:space="preserve">  YOG. VAINILLA LIGHT 900G</t>
  </si>
  <si>
    <t xml:space="preserve">  YOG. VAINILLA LIGHT 1600G</t>
  </si>
  <si>
    <t>TOT QUESO</t>
  </si>
  <si>
    <t>TOT YOG</t>
  </si>
  <si>
    <t>YOG FRUTIMORA BEG 900G</t>
  </si>
  <si>
    <t>YOG FRUTIMORA 900G</t>
  </si>
  <si>
    <t>YOG FRUTIMORA 1600G</t>
  </si>
  <si>
    <t>YOG MARACUMANGO 900G</t>
  </si>
  <si>
    <t>YOG MARACUMANGO 180G</t>
  </si>
  <si>
    <t>YOG FRUTIMORA BEG 1600G</t>
  </si>
  <si>
    <t>YOG MARACUMANGO 1600G</t>
  </si>
  <si>
    <t>YOG MARACUMANGO LIG 180G</t>
  </si>
  <si>
    <t>YOG MARACUMANGO LIG 900G</t>
  </si>
  <si>
    <t>YOG MARACUMANGO LIG 1600G</t>
  </si>
  <si>
    <t>YOG NATURAL 180G</t>
  </si>
  <si>
    <t>YOG NATURAL 900G</t>
  </si>
  <si>
    <t>YOG NATURAL 1600G</t>
  </si>
  <si>
    <t>YOG VAINILLA 900G</t>
  </si>
  <si>
    <t>YOG VAINILLA 1600G</t>
  </si>
  <si>
    <t>YOG VAINILLA BEG 900G</t>
  </si>
  <si>
    <t>YOG VAINILLA BEG 1600G</t>
  </si>
  <si>
    <t>7861033002224</t>
  </si>
  <si>
    <t>7861033002231</t>
  </si>
  <si>
    <t>7861033002187</t>
  </si>
  <si>
    <t>7861033002200</t>
  </si>
  <si>
    <t>7861033002217</t>
  </si>
  <si>
    <t>7861033002194</t>
  </si>
  <si>
    <t>Queso Crema 200gr</t>
  </si>
  <si>
    <t>Queso Crema 400gr</t>
  </si>
  <si>
    <t>Queso Crema Bajo en Grasa 200gr</t>
  </si>
  <si>
    <t>Queso Crema Sin Lactosa 200gr</t>
  </si>
  <si>
    <t>Deditos de Queso Mozzarella 80gr</t>
  </si>
  <si>
    <t>Deditos de Queso Mozzarella Bajo en Grasa 80gr</t>
  </si>
  <si>
    <t>7861033001098</t>
  </si>
  <si>
    <t>7861033001111</t>
  </si>
  <si>
    <t>7861033001630</t>
  </si>
  <si>
    <t>7861033001784</t>
  </si>
  <si>
    <t>7861033001616</t>
  </si>
  <si>
    <t>7861033000640</t>
  </si>
  <si>
    <t>7861033000657</t>
  </si>
  <si>
    <t>7861033001289</t>
  </si>
  <si>
    <t>7861033001210</t>
  </si>
  <si>
    <t>7861033001234</t>
  </si>
  <si>
    <t>7861033000626</t>
  </si>
  <si>
    <t>7861033000633</t>
  </si>
  <si>
    <t>7861033000602</t>
  </si>
  <si>
    <t>7861033000619</t>
  </si>
  <si>
    <t>7861033002071</t>
  </si>
  <si>
    <t>7861033001364</t>
  </si>
  <si>
    <t>7861033000350</t>
  </si>
  <si>
    <t>7861033000015</t>
  </si>
  <si>
    <t>7861033000312</t>
  </si>
  <si>
    <t>7861033000831</t>
  </si>
  <si>
    <t>7861033001388</t>
  </si>
  <si>
    <t>7861033000855</t>
  </si>
  <si>
    <t>7861033001067</t>
  </si>
  <si>
    <t>7861033000527</t>
  </si>
  <si>
    <t>7861033000145</t>
  </si>
  <si>
    <t>7861033001371</t>
  </si>
  <si>
    <t>7861033001975</t>
  </si>
  <si>
    <t>7861033001029</t>
  </si>
  <si>
    <t>7861033000022</t>
  </si>
  <si>
    <t>7861033000787</t>
  </si>
  <si>
    <t>7861033000213</t>
  </si>
  <si>
    <t>7861033000077</t>
  </si>
  <si>
    <t>7861033001326</t>
  </si>
  <si>
    <t>7861033001760</t>
  </si>
  <si>
    <t>7861033001036</t>
  </si>
  <si>
    <t>7861033001081</t>
  </si>
  <si>
    <t>7861033000848</t>
  </si>
  <si>
    <t>7861033001463</t>
  </si>
  <si>
    <t>7861042559443</t>
  </si>
  <si>
    <t>7861042552406</t>
  </si>
  <si>
    <t>7861033002019</t>
  </si>
  <si>
    <t>7861033002033</t>
  </si>
  <si>
    <t>7861033001586</t>
  </si>
  <si>
    <t>7861033001593</t>
  </si>
  <si>
    <t>7861033001807</t>
  </si>
  <si>
    <t>7861033001555</t>
  </si>
  <si>
    <t>7861033001548</t>
  </si>
  <si>
    <t>7861033000084</t>
  </si>
  <si>
    <t>7861033001500</t>
  </si>
  <si>
    <t>7861033001562</t>
  </si>
  <si>
    <t>7861033001579</t>
  </si>
  <si>
    <t>7861033001838</t>
  </si>
  <si>
    <t>7861033002156</t>
  </si>
  <si>
    <t>7861033000770</t>
  </si>
  <si>
    <t>7861033001470</t>
  </si>
  <si>
    <t>7861033001609</t>
  </si>
  <si>
    <t>7861033001814</t>
  </si>
  <si>
    <t>7861033001425</t>
  </si>
  <si>
    <t>STRING MOZ 80G</t>
  </si>
  <si>
    <t>STRING BEG MOZ 80G</t>
  </si>
  <si>
    <t>TOT</t>
  </si>
  <si>
    <t>QCREM</t>
  </si>
  <si>
    <t>Y FRUTIMORA 900G</t>
  </si>
  <si>
    <t>Y FRUTIMORA 1600G</t>
  </si>
  <si>
    <t>Y MARACUMANGO 180G</t>
  </si>
  <si>
    <t>Y MARACUMANGO 900G</t>
  </si>
  <si>
    <t>Y MARACUMANGO 1600G</t>
  </si>
  <si>
    <t>Y NATURAL 180G</t>
  </si>
  <si>
    <t>Y NATURAL 900G</t>
  </si>
  <si>
    <t>Y NATURAL 1600G</t>
  </si>
  <si>
    <t>Y VAINILLA 900G</t>
  </si>
  <si>
    <t>Y VAINILLA 1600G</t>
  </si>
  <si>
    <t>7861033001791</t>
  </si>
  <si>
    <t>7861033001241</t>
  </si>
  <si>
    <t>7861033001449</t>
  </si>
  <si>
    <t>7861033001104</t>
  </si>
  <si>
    <t>7861033001265</t>
  </si>
  <si>
    <t>7861033001227</t>
  </si>
  <si>
    <t>7861033001432</t>
  </si>
  <si>
    <t>7861033000794</t>
  </si>
  <si>
    <t>7861033001494</t>
  </si>
  <si>
    <t>7861033000091</t>
  </si>
  <si>
    <t>7861033000329</t>
  </si>
  <si>
    <t>X</t>
  </si>
  <si>
    <t>AME</t>
  </si>
  <si>
    <t>AND</t>
  </si>
  <si>
    <t>CHBG</t>
  </si>
  <si>
    <t>CHE</t>
  </si>
  <si>
    <t>CREM</t>
  </si>
  <si>
    <t>F</t>
  </si>
  <si>
    <t>FBG</t>
  </si>
  <si>
    <t>FBL</t>
  </si>
  <si>
    <t>FC</t>
  </si>
  <si>
    <t>FM</t>
  </si>
  <si>
    <t>FT</t>
  </si>
  <si>
    <t>H</t>
  </si>
  <si>
    <t>HBG</t>
  </si>
  <si>
    <t>M</t>
  </si>
  <si>
    <t>MBG</t>
  </si>
  <si>
    <t>MBL</t>
  </si>
  <si>
    <t>MO</t>
  </si>
  <si>
    <t>MP</t>
  </si>
  <si>
    <t>MPB</t>
  </si>
  <si>
    <t>MPBG</t>
  </si>
  <si>
    <t>MPM</t>
  </si>
  <si>
    <t>RIC</t>
  </si>
  <si>
    <t>UNT</t>
  </si>
  <si>
    <t>YOG</t>
  </si>
  <si>
    <t>SE CREMOSO 650G</t>
  </si>
  <si>
    <t>MANABA 700G</t>
  </si>
  <si>
    <t>MOZ PIZ 700G</t>
  </si>
  <si>
    <t>Q CREMA 200G</t>
  </si>
  <si>
    <t>Q CREMA BEG 200G</t>
  </si>
  <si>
    <t>Q CREMA SL 200G</t>
  </si>
  <si>
    <t>Y LIGHT FRUTIMORA 1600G</t>
  </si>
  <si>
    <t>Y LIGHT FRUTIMORA 900G</t>
  </si>
  <si>
    <t>Y LIGHT MARACUMANGO 1600G</t>
  </si>
  <si>
    <t>Y LIGHT MARACUMANGO 180G</t>
  </si>
  <si>
    <t>Y LIGHT MARACUMANGO 900G</t>
  </si>
  <si>
    <t>Y LIGHT VAINILLA 1600G</t>
  </si>
  <si>
    <t>Y LIGHT VAINILLA 900G</t>
  </si>
  <si>
    <t>PARMESANO RALLADO 100 GR</t>
  </si>
  <si>
    <t>PARMESANO RALLADO 250 GR</t>
  </si>
  <si>
    <t>TACO MIX QUESOS RALLADO 300 GR</t>
  </si>
  <si>
    <t>MIX QUESOS EN CUBOS 300 GR</t>
  </si>
  <si>
    <t xml:space="preserve"> PIZZA MIX 4 QUESOS 300 GR</t>
  </si>
  <si>
    <t>7861033002552</t>
  </si>
  <si>
    <t>7861033002545</t>
  </si>
  <si>
    <t>7861033002521</t>
  </si>
  <si>
    <t>7861033002538</t>
  </si>
  <si>
    <t>7861033002583</t>
  </si>
  <si>
    <t>PARM</t>
  </si>
  <si>
    <t>MIX</t>
  </si>
  <si>
    <t>PARM RALL 100G</t>
  </si>
  <si>
    <t>PARM RALL 250G</t>
  </si>
  <si>
    <t>MIX TACO 300G</t>
  </si>
  <si>
    <t>MIX CUB 300G</t>
  </si>
  <si>
    <t>MIX 4Q 300G</t>
  </si>
  <si>
    <t>Q. RICOTA 450 GR (UN)</t>
  </si>
  <si>
    <t>7861033002514</t>
  </si>
  <si>
    <t>RIC 450G</t>
  </si>
  <si>
    <t>Carlos Pérez Paz</t>
  </si>
  <si>
    <t>Sector Norte de Quito: El Labrador, Isaac Albéniz y Pablo Casals, Pasaje N46e Casa 87.</t>
  </si>
  <si>
    <t>El Labrador.</t>
  </si>
  <si>
    <t>4 canastas</t>
  </si>
  <si>
    <t>NOMBRE</t>
  </si>
  <si>
    <t>TELEFONO</t>
  </si>
  <si>
    <t>DIRECCION</t>
  </si>
  <si>
    <t>SECTOR</t>
  </si>
  <si>
    <t>Q. CREMA 400</t>
  </si>
  <si>
    <t>Q. FRESCO 450 GR (UN)</t>
  </si>
  <si>
    <t>Q. GOUDA REB 200 GR (UN)</t>
  </si>
  <si>
    <t>FRESCO 450G</t>
  </si>
  <si>
    <t>GOUDA REB 200G</t>
  </si>
  <si>
    <t>LA ORIGINAL QUESO CREMOSO 400 GR</t>
  </si>
  <si>
    <t>LA ORIGINAL QUESO MOZARELLA 200 GR</t>
  </si>
  <si>
    <t>LA ORIGINAL QUESO CHEDDAR REBANADO 150 GR</t>
  </si>
  <si>
    <t>LA ORIGINAL QUESO HOLANDES REBANADO 150 GR</t>
  </si>
  <si>
    <t>LA ORIGINAL QUESO AMERICANO REBANADO 1 KG</t>
  </si>
  <si>
    <t>LA ORIGINAL QUESO RICOTA 250 GR</t>
  </si>
  <si>
    <t>QUESO PARMESANO RALLADO 400 GR</t>
  </si>
  <si>
    <t>QUESO MOZZARELLA SIN LACTOSA 200G</t>
  </si>
  <si>
    <t>QUESO HOLANDES BAJO EN GRASA REBANADO 160G</t>
  </si>
  <si>
    <t>QUESO CHEDDAR BAJO EN GRASA REBANADO 160G</t>
  </si>
  <si>
    <t>QUESO REQUESON 400GR</t>
  </si>
  <si>
    <t>CREMA DE LECHE 500 GR</t>
  </si>
  <si>
    <t>CREMA DE LECHE 900 GR</t>
  </si>
  <si>
    <t>CREMA DE LECHE 250 GR</t>
  </si>
  <si>
    <t>CREMA DE LECHE 500GR</t>
  </si>
  <si>
    <t>LA ORIGINAL CREMA DE LECHE 200 GR</t>
  </si>
  <si>
    <t>LA ORIGINAL CREMA DE LECHE 450 GR</t>
  </si>
  <si>
    <t>LA ORIGINAL CREMA DE LECHE 900 GR</t>
  </si>
  <si>
    <t>R</t>
  </si>
  <si>
    <t>PROVE</t>
  </si>
  <si>
    <t>LOC</t>
  </si>
  <si>
    <t>FEC ENTR</t>
  </si>
  <si>
    <t>FEC CANC</t>
  </si>
  <si>
    <t>NUMPED</t>
  </si>
  <si>
    <t>1</t>
  </si>
  <si>
    <t>03292</t>
  </si>
  <si>
    <t>0</t>
  </si>
  <si>
    <t>CODIGO BARRAS</t>
  </si>
  <si>
    <t>DESCRIPCION ARTICULO</t>
  </si>
  <si>
    <t>CODIGO REFER</t>
  </si>
  <si>
    <t>TALLA</t>
  </si>
  <si>
    <t>COLOR</t>
  </si>
  <si>
    <t>TAMANO</t>
  </si>
  <si>
    <t>MARCA</t>
  </si>
  <si>
    <t>UNMA</t>
  </si>
  <si>
    <t>PREC. COSTO</t>
  </si>
  <si>
    <t>DESC 1</t>
  </si>
  <si>
    <t>DESC 2</t>
  </si>
  <si>
    <t>DESC 3</t>
  </si>
  <si>
    <t>DESC 4</t>
  </si>
  <si>
    <t>DESDOC</t>
  </si>
  <si>
    <t>DESPRO</t>
  </si>
  <si>
    <t>DEPROM</t>
  </si>
  <si>
    <t>DESESP</t>
  </si>
  <si>
    <t>CANTID</t>
  </si>
  <si>
    <t>PESO</t>
  </si>
  <si>
    <t>NUMERO ORDEN</t>
  </si>
  <si>
    <t>2</t>
  </si>
  <si>
    <t>Bajo Grasa</t>
  </si>
  <si>
    <t/>
  </si>
  <si>
    <t>LA HOLANDESA</t>
  </si>
  <si>
    <t>0,00</t>
  </si>
  <si>
    <t>0,000</t>
  </si>
  <si>
    <t>200 g</t>
  </si>
  <si>
    <t>0012</t>
  </si>
  <si>
    <t>0008</t>
  </si>
  <si>
    <t>700 g</t>
  </si>
  <si>
    <t>0018</t>
  </si>
  <si>
    <t>400 g</t>
  </si>
  <si>
    <t>LA HOLANDESA Q.MOZZARELLA</t>
  </si>
  <si>
    <t>TOTOR</t>
  </si>
  <si>
    <t>TOTAL COSTO</t>
  </si>
  <si>
    <t>TOTAL DESC</t>
  </si>
  <si>
    <t>TOTAL IVA</t>
  </si>
  <si>
    <t>T.ITEM</t>
  </si>
  <si>
    <t>TOT BULTS</t>
  </si>
  <si>
    <t>TOTAL PESO</t>
  </si>
  <si>
    <t>3</t>
  </si>
  <si>
    <t>3,2100</t>
  </si>
  <si>
    <t>400g</t>
  </si>
  <si>
    <t>0024</t>
  </si>
  <si>
    <t>LA HOLANDESA Q.CRIOLLO</t>
  </si>
  <si>
    <t>5,1600</t>
  </si>
  <si>
    <t>LA HOLANDESA Q.CRIOLLO CREMOSO</t>
  </si>
  <si>
    <t>PT530</t>
  </si>
  <si>
    <t>3,0500</t>
  </si>
  <si>
    <t>LA HOLANDESA Q.FRESCO</t>
  </si>
  <si>
    <t>PT523</t>
  </si>
  <si>
    <t>5,0100</t>
  </si>
  <si>
    <t>LA HOLANDESA Q.FRESCO BAJO EN</t>
  </si>
  <si>
    <t>5,4100</t>
  </si>
  <si>
    <t>Bajo Grsa</t>
  </si>
  <si>
    <t>450 g</t>
  </si>
  <si>
    <t>3,7300</t>
  </si>
  <si>
    <t>LA HOLANDESA Q.MANABA</t>
  </si>
  <si>
    <t>PT550</t>
  </si>
  <si>
    <t>3,2300</t>
  </si>
  <si>
    <t>7861033002507</t>
  </si>
  <si>
    <t>LA HOLANDESA QUESO FRESCO</t>
  </si>
  <si>
    <t>LA HOLANDESA QUESO MANABA</t>
  </si>
  <si>
    <t>LA HOLANDESA Q.MOZARELLA</t>
  </si>
  <si>
    <t>Redondo</t>
  </si>
  <si>
    <t>500 g</t>
  </si>
  <si>
    <t>4,2000</t>
  </si>
  <si>
    <t>LA HOLANDESA Q.MOZARELLA BAJO</t>
  </si>
  <si>
    <t>4,6200</t>
  </si>
  <si>
    <t>900 g</t>
  </si>
  <si>
    <t>7,0900</t>
  </si>
  <si>
    <t>LA HOLANDESA Q.MOZZARELLA BAJO</t>
  </si>
  <si>
    <t>2,0500</t>
  </si>
  <si>
    <t>100</t>
  </si>
  <si>
    <t>LA HOLANDESA MIX QUESO PICADIT</t>
  </si>
  <si>
    <t>300 g</t>
  </si>
  <si>
    <t>3,8000</t>
  </si>
  <si>
    <t>LA HOLANDESA Q.CHEDDAR</t>
  </si>
  <si>
    <t>Rebanado 400gr</t>
  </si>
  <si>
    <t>5,4000</t>
  </si>
  <si>
    <t>Rebanado 200gr</t>
  </si>
  <si>
    <t>200g</t>
  </si>
  <si>
    <t>2,7900</t>
  </si>
  <si>
    <t>LA HOLANDESA Q.HOLANDES REB.</t>
  </si>
  <si>
    <t>PT558</t>
  </si>
  <si>
    <t>REBANADO</t>
  </si>
  <si>
    <t>2,8000</t>
  </si>
  <si>
    <t>LA HOLANDESA Q.MOZZARELLA REB</t>
  </si>
  <si>
    <t>LA HOLANDESA Q.MOZZARELLA REB.</t>
  </si>
  <si>
    <t>REBANADO PT556</t>
  </si>
  <si>
    <t>7861042572244</t>
  </si>
  <si>
    <t>LO.QUESO AMERICANO REBANADO</t>
  </si>
  <si>
    <t>1kg</t>
  </si>
  <si>
    <t>LA ORIGINAL</t>
  </si>
  <si>
    <t>0004</t>
  </si>
  <si>
    <t>8,9500</t>
  </si>
  <si>
    <t>7861042572688</t>
  </si>
  <si>
    <t>LO.QUESO CHEDAR REBANADO</t>
  </si>
  <si>
    <t>150g</t>
  </si>
  <si>
    <t>1,6500</t>
  </si>
  <si>
    <t>7861042570141</t>
  </si>
  <si>
    <t>LO.QUESO HOLANDES REBANADO</t>
  </si>
  <si>
    <t>LA HOLANDESA Q.FRESCO BAJO LAC</t>
  </si>
  <si>
    <t>Bajo Lactosa</t>
  </si>
  <si>
    <t>3,8200</t>
  </si>
  <si>
    <t>7861042572237</t>
  </si>
  <si>
    <t>LO.QUESO CREMOSO</t>
  </si>
  <si>
    <t>2,6000</t>
  </si>
  <si>
    <t>LA HOLANDESA Q. MOZZARELLA</t>
  </si>
  <si>
    <t>RECTANGULAR</t>
  </si>
  <si>
    <t>1,9500</t>
  </si>
  <si>
    <t>LA HOLANDESA Q.MOZARELLA RECT.</t>
  </si>
  <si>
    <t>Rect 700gr</t>
  </si>
  <si>
    <t>5,7200</t>
  </si>
  <si>
    <t>BAJO EN GRASA</t>
  </si>
  <si>
    <t>6,2500</t>
  </si>
  <si>
    <t>BAJO EN LACTOSA</t>
  </si>
  <si>
    <t>4,7000</t>
  </si>
  <si>
    <t>LO.QUESO MOZARELLA</t>
  </si>
  <si>
    <t>900g</t>
  </si>
  <si>
    <t>6,0000</t>
  </si>
  <si>
    <t>7861042572220</t>
  </si>
  <si>
    <t>LO.QUESO MOZARELLA.</t>
  </si>
  <si>
    <t>1,4000</t>
  </si>
  <si>
    <t>LO.QUESO MOZZARELLA</t>
  </si>
  <si>
    <t>450g</t>
  </si>
  <si>
    <t>3,0400</t>
  </si>
  <si>
    <t>HOLANDESA YOG. NATURAL</t>
  </si>
  <si>
    <t>180 g</t>
  </si>
  <si>
    <t>0,6300</t>
  </si>
  <si>
    <t>0006</t>
  </si>
  <si>
    <t>2,2500</t>
  </si>
  <si>
    <t>1600 g</t>
  </si>
  <si>
    <t>3,5500</t>
  </si>
  <si>
    <t>LA HOLANDESA PARMESANO RALLADO</t>
  </si>
  <si>
    <t>250 g</t>
  </si>
  <si>
    <t>4,1000</t>
  </si>
  <si>
    <t>100 g</t>
  </si>
  <si>
    <t>0013</t>
  </si>
  <si>
    <t>1,8000</t>
  </si>
  <si>
    <t>LA HOLANDESA PIZZA MIX 4 QUESO</t>
  </si>
  <si>
    <t>HOLANDESA QUESO CREMA</t>
  </si>
  <si>
    <t>HOLANDESA QUESO CREMA BAJO EN</t>
  </si>
  <si>
    <t>1,7500</t>
  </si>
  <si>
    <t>HOLANDESA QUESO CREMA S/LACTOS</t>
  </si>
  <si>
    <t>1,9000</t>
  </si>
  <si>
    <t>1,9400</t>
  </si>
  <si>
    <t>LA HOLANDESA QUESO CREMA</t>
  </si>
  <si>
    <t>LA HOLANDESA MASCARPONE</t>
  </si>
  <si>
    <t>0014</t>
  </si>
  <si>
    <t>3,5000</t>
  </si>
  <si>
    <t>LA HOLANDESA Q MASCARPONE</t>
  </si>
  <si>
    <t>LA HOLANDESA Q RICOTTA UNTABLE</t>
  </si>
  <si>
    <t>3,3200</t>
  </si>
  <si>
    <t>LA HOLANDESA Q.RICOTTA UNTABLE</t>
  </si>
  <si>
    <t>1,8500</t>
  </si>
  <si>
    <t>LA HOLANDESA QUESO RICOTA</t>
  </si>
  <si>
    <t>7861042571780</t>
  </si>
  <si>
    <t>LO.QUESO RICOTTA</t>
  </si>
  <si>
    <t>250g</t>
  </si>
  <si>
    <t>0,8300</t>
  </si>
  <si>
    <t>7861033003092</t>
  </si>
  <si>
    <t>LA HOLANDESA CREMA DE LECHE</t>
  </si>
  <si>
    <t>2,4000</t>
  </si>
  <si>
    <t>0,12</t>
  </si>
  <si>
    <t>7861033003085</t>
  </si>
  <si>
    <t>1,4500</t>
  </si>
  <si>
    <t>7861033003078</t>
  </si>
  <si>
    <t>0,8000</t>
  </si>
  <si>
    <t>7861042574637</t>
  </si>
  <si>
    <t>LO.CREMA DE LECHE</t>
  </si>
  <si>
    <t>0,4600</t>
  </si>
  <si>
    <t>7861042574651</t>
  </si>
  <si>
    <t>7861042574644</t>
  </si>
  <si>
    <t>1,0300</t>
  </si>
  <si>
    <t>00003</t>
  </si>
  <si>
    <t>000009</t>
  </si>
  <si>
    <t>000005</t>
  </si>
  <si>
    <t>000007</t>
  </si>
  <si>
    <t>000023</t>
  </si>
  <si>
    <t>000019</t>
  </si>
  <si>
    <t>000015</t>
  </si>
  <si>
    <t>000008</t>
  </si>
  <si>
    <t>20,00</t>
  </si>
  <si>
    <t>LA HOLANDESA MIX QUESO TACOS</t>
  </si>
  <si>
    <t>000028</t>
  </si>
  <si>
    <t>000010</t>
  </si>
  <si>
    <t>000018</t>
  </si>
  <si>
    <t>000021</t>
  </si>
  <si>
    <t>000011</t>
  </si>
  <si>
    <t>LA HOLANDESA Q.CHEDDAR UNTABLE</t>
  </si>
  <si>
    <t>000001</t>
  </si>
  <si>
    <t>000055</t>
  </si>
  <si>
    <t>000012</t>
  </si>
  <si>
    <t>000061</t>
  </si>
  <si>
    <t>000006</t>
  </si>
  <si>
    <t>20220713</t>
  </si>
  <si>
    <t>725359</t>
  </si>
  <si>
    <t>100219388526</t>
  </si>
  <si>
    <t>000003</t>
  </si>
  <si>
    <t>000004</t>
  </si>
  <si>
    <t>000045</t>
  </si>
  <si>
    <t>000037</t>
  </si>
  <si>
    <t>000032</t>
  </si>
  <si>
    <t>000014</t>
  </si>
  <si>
    <t>000058</t>
  </si>
  <si>
    <t>000048</t>
  </si>
  <si>
    <t>100219388527</t>
  </si>
  <si>
    <t>000017</t>
  </si>
  <si>
    <t>000002</t>
  </si>
  <si>
    <t>000013</t>
  </si>
  <si>
    <t>100219388528</t>
  </si>
  <si>
    <t>000082</t>
  </si>
  <si>
    <t>000108</t>
  </si>
  <si>
    <t>30522,0300</t>
  </si>
  <si>
    <t>3509,0899</t>
  </si>
  <si>
    <t>405,7200</t>
  </si>
  <si>
    <t>000000957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</si>
</sst>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 ;\-0\ "/>
    <numFmt numFmtId="165" formatCode="_-* #,##0.00_-;\-* #,##0.00_-;_-* &quot;-&quot;??_-;_-@_-"/>
    <numFmt numFmtId="166" formatCode="_(&quot;$&quot;* #,##0_);_(&quot;$&quot;* \(#,##0\);_(&quot;$&quot;* &quot;-&quot;??_);_(@_)"/>
    <numFmt numFmtId="167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Helvetica"/>
    </font>
    <font>
      <i/>
      <sz val="11"/>
      <name val="Helvetica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Helvetica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6" fillId="0" borderId="0"/>
    <xf numFmtId="165" fontId="6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/>
    <xf numFmtId="1" fontId="1" fillId="2" borderId="1" xfId="0" applyNumberFormat="1" applyFont="1" applyFill="1" applyBorder="1"/>
    <xf numFmtId="0" fontId="0" fillId="0" borderId="0" xfId="0" applyFont="1" applyAlignment="1">
      <alignment horizontal="left" indent="1"/>
    </xf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0" applyFont="1" applyFill="1" applyBorder="1" applyAlignment="1" applyProtection="1">
      <protection hidden="1"/>
    </xf>
    <xf numFmtId="0" fontId="4" fillId="0" borderId="0" xfId="0" applyFont="1" applyFill="1" applyBorder="1" applyAlignment="1"/>
    <xf numFmtId="2" fontId="3" fillId="0" borderId="0" xfId="0" applyNumberFormat="1" applyFont="1" applyFill="1" applyBorder="1" applyAlignment="1"/>
    <xf numFmtId="4" fontId="3" fillId="0" borderId="1" xfId="0" applyNumberFormat="1" applyFont="1" applyFill="1" applyBorder="1" applyAlignment="1"/>
    <xf numFmtId="4" fontId="3" fillId="0" borderId="1" xfId="0" applyNumberFormat="1" applyFont="1" applyFill="1" applyBorder="1" applyAlignment="1" applyProtection="1">
      <protection hidden="1"/>
    </xf>
    <xf numFmtId="0" fontId="3" fillId="0" borderId="1" xfId="0" applyFont="1" applyFill="1" applyBorder="1" applyAlignment="1"/>
    <xf numFmtId="2" fontId="3" fillId="0" borderId="1" xfId="0" applyNumberFormat="1" applyFont="1" applyFill="1" applyBorder="1" applyAlignment="1"/>
    <xf numFmtId="164" fontId="3" fillId="0" borderId="1" xfId="0" applyNumberFormat="1" applyFont="1" applyFill="1" applyBorder="1" applyAlignment="1"/>
    <xf numFmtId="1" fontId="3" fillId="0" borderId="1" xfId="0" applyNumberFormat="1" applyFont="1" applyFill="1" applyBorder="1" applyAlignment="1"/>
    <xf numFmtId="4" fontId="3" fillId="0" borderId="2" xfId="0" applyNumberFormat="1" applyFont="1" applyFill="1" applyBorder="1" applyAlignment="1"/>
    <xf numFmtId="1" fontId="3" fillId="0" borderId="1" xfId="0" applyNumberFormat="1" applyFont="1" applyFill="1" applyBorder="1" applyAlignment="1" applyProtection="1">
      <protection hidden="1"/>
    </xf>
    <xf numFmtId="4" fontId="3" fillId="0" borderId="0" xfId="0" applyNumberFormat="1" applyFont="1" applyFill="1" applyBorder="1" applyAlignment="1" applyProtection="1">
      <protection hidden="1"/>
    </xf>
    <xf numFmtId="4" fontId="3" fillId="0" borderId="2" xfId="0" applyNumberFormat="1" applyFont="1" applyFill="1" applyBorder="1" applyAlignment="1" applyProtection="1">
      <protection hidden="1"/>
    </xf>
    <xf numFmtId="4" fontId="3" fillId="0" borderId="1" xfId="0" applyNumberFormat="1" applyFont="1" applyFill="1" applyBorder="1" applyAlignment="1" applyProtection="1">
      <alignment horizontal="right"/>
      <protection hidden="1"/>
    </xf>
    <xf numFmtId="4" fontId="3" fillId="0" borderId="0" xfId="0" applyNumberFormat="1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>
      <alignment horizontal="right"/>
    </xf>
    <xf numFmtId="1" fontId="3" fillId="0" borderId="0" xfId="0" applyNumberFormat="1" applyFont="1" applyFill="1" applyBorder="1" applyAlignment="1" applyProtection="1">
      <alignment horizontal="right"/>
      <protection hidden="1"/>
    </xf>
    <xf numFmtId="1" fontId="3" fillId="0" borderId="0" xfId="0" applyNumberFormat="1" applyFont="1" applyFill="1" applyBorder="1" applyAlignment="1">
      <alignment horizontal="right"/>
    </xf>
    <xf numFmtId="0" fontId="2" fillId="0" borderId="0" xfId="1"/>
    <xf numFmtId="0" fontId="2" fillId="0" borderId="0" xfId="1"/>
    <xf numFmtId="1" fontId="7" fillId="2" borderId="1" xfId="2" applyNumberFormat="1" applyFont="1" applyFill="1" applyBorder="1" applyAlignment="1">
      <alignment horizontal="left" vertical="center"/>
    </xf>
    <xf numFmtId="1" fontId="3" fillId="0" borderId="3" xfId="0" quotePrefix="1" applyNumberFormat="1" applyFont="1" applyFill="1" applyBorder="1" applyAlignment="1" applyProtection="1">
      <protection hidden="1"/>
    </xf>
    <xf numFmtId="1" fontId="3" fillId="0" borderId="1" xfId="0" quotePrefix="1" applyNumberFormat="1" applyFont="1" applyFill="1" applyBorder="1" applyAlignment="1" applyProtection="1">
      <protection hidden="1"/>
    </xf>
    <xf numFmtId="1" fontId="1" fillId="2" borderId="1" xfId="0" quotePrefix="1" applyNumberFormat="1" applyFont="1" applyFill="1" applyBorder="1"/>
    <xf numFmtId="1" fontId="7" fillId="3" borderId="1" xfId="2" quotePrefix="1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 applyProtection="1">
      <alignment vertical="center"/>
      <protection hidden="1"/>
    </xf>
    <xf numFmtId="1" fontId="3" fillId="0" borderId="4" xfId="0" quotePrefix="1" applyNumberFormat="1" applyFont="1" applyFill="1" applyBorder="1" applyAlignment="1" applyProtection="1">
      <protection hidden="1"/>
    </xf>
    <xf numFmtId="1" fontId="3" fillId="0" borderId="5" xfId="0" quotePrefix="1" applyNumberFormat="1" applyFont="1" applyFill="1" applyBorder="1" applyAlignment="1" applyProtection="1">
      <protection hidden="1"/>
    </xf>
    <xf numFmtId="1" fontId="3" fillId="0" borderId="6" xfId="0" quotePrefix="1" applyNumberFormat="1" applyFont="1" applyFill="1" applyBorder="1" applyAlignment="1" applyProtection="1">
      <protection hidden="1"/>
    </xf>
    <xf numFmtId="1" fontId="3" fillId="0" borderId="7" xfId="0" quotePrefix="1" applyNumberFormat="1" applyFont="1" applyFill="1" applyBorder="1" applyAlignment="1" applyProtection="1">
      <protection hidden="1"/>
    </xf>
    <xf numFmtId="1" fontId="3" fillId="0" borderId="8" xfId="0" quotePrefix="1" applyNumberFormat="1" applyFont="1" applyFill="1" applyBorder="1" applyAlignment="1" applyProtection="1">
      <protection hidden="1"/>
    </xf>
    <xf numFmtId="166" fontId="3" fillId="0" borderId="5" xfId="4" quotePrefix="1" applyNumberFormat="1" applyFont="1" applyFill="1" applyBorder="1" applyAlignment="1" applyProtection="1">
      <protection hidden="1"/>
    </xf>
    <xf numFmtId="166" fontId="3" fillId="0" borderId="3" xfId="4" quotePrefix="1" applyNumberFormat="1" applyFont="1" applyFill="1" applyBorder="1" applyAlignment="1" applyProtection="1">
      <protection hidden="1"/>
    </xf>
    <xf numFmtId="166" fontId="3" fillId="0" borderId="7" xfId="4" quotePrefix="1" applyNumberFormat="1" applyFont="1" applyFill="1" applyBorder="1" applyAlignment="1" applyProtection="1">
      <protection hidden="1"/>
    </xf>
    <xf numFmtId="167" fontId="3" fillId="0" borderId="5" xfId="5" quotePrefix="1" applyNumberFormat="1" applyFont="1" applyFill="1" applyBorder="1" applyAlignment="1" applyProtection="1">
      <protection hidden="1"/>
    </xf>
    <xf numFmtId="167" fontId="3" fillId="0" borderId="3" xfId="5" quotePrefix="1" applyNumberFormat="1" applyFont="1" applyFill="1" applyBorder="1" applyAlignment="1" applyProtection="1">
      <protection hidden="1"/>
    </xf>
    <xf numFmtId="167" fontId="3" fillId="0" borderId="7" xfId="5" quotePrefix="1" applyNumberFormat="1" applyFont="1" applyFill="1" applyBorder="1" applyAlignment="1" applyProtection="1">
      <protection hidden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" fontId="7" fillId="4" borderId="11" xfId="0" applyNumberFormat="1" applyFont="1" applyFill="1" applyBorder="1" applyAlignment="1">
      <alignment horizontal="center" vertical="center"/>
    </xf>
    <xf numFmtId="1" fontId="7" fillId="4" borderId="12" xfId="0" applyNumberFormat="1" applyFont="1" applyFill="1" applyBorder="1" applyAlignment="1">
      <alignment horizontal="center" vertical="center"/>
    </xf>
    <xf numFmtId="167" fontId="3" fillId="0" borderId="4" xfId="5" quotePrefix="1" applyNumberFormat="1" applyFont="1" applyFill="1" applyBorder="1" applyAlignment="1" applyProtection="1">
      <protection hidden="1"/>
    </xf>
    <xf numFmtId="167" fontId="3" fillId="0" borderId="13" xfId="5" quotePrefix="1" applyNumberFormat="1" applyFont="1" applyFill="1" applyBorder="1" applyAlignment="1" applyProtection="1">
      <protection hidden="1"/>
    </xf>
    <xf numFmtId="167" fontId="3" fillId="0" borderId="1" xfId="5" quotePrefix="1" applyNumberFormat="1" applyFont="1" applyFill="1" applyBorder="1" applyAlignment="1" applyProtection="1">
      <protection hidden="1"/>
    </xf>
    <xf numFmtId="1" fontId="3" fillId="0" borderId="13" xfId="0" quotePrefix="1" applyNumberFormat="1" applyFont="1" applyFill="1" applyBorder="1" applyAlignment="1" applyProtection="1">
      <protection hidden="1"/>
    </xf>
    <xf numFmtId="1" fontId="7" fillId="4" borderId="3" xfId="0" quotePrefix="1" applyNumberFormat="1" applyFont="1" applyFill="1" applyBorder="1" applyAlignment="1">
      <alignment horizontal="center" vertical="center"/>
    </xf>
    <xf numFmtId="1" fontId="3" fillId="0" borderId="12" xfId="0" quotePrefix="1" applyNumberFormat="1" applyFont="1" applyFill="1" applyBorder="1" applyAlignment="1" applyProtection="1">
      <protection hidden="1"/>
    </xf>
    <xf numFmtId="0" fontId="7" fillId="0" borderId="3" xfId="0" applyFont="1" applyBorder="1" applyAlignment="1">
      <alignment vertical="center"/>
    </xf>
    <xf numFmtId="167" fontId="9" fillId="0" borderId="3" xfId="5" quotePrefix="1" applyNumberFormat="1" applyFont="1" applyFill="1" applyBorder="1" applyAlignment="1" applyProtection="1">
      <protection hidden="1"/>
    </xf>
    <xf numFmtId="1" fontId="9" fillId="0" borderId="3" xfId="0" quotePrefix="1" applyNumberFormat="1" applyFont="1" applyFill="1" applyBorder="1" applyAlignment="1" applyProtection="1">
      <protection hidden="1"/>
    </xf>
    <xf numFmtId="166" fontId="9" fillId="0" borderId="3" xfId="4" quotePrefix="1" applyNumberFormat="1" applyFont="1" applyFill="1" applyBorder="1" applyAlignment="1" applyProtection="1">
      <protection hidden="1"/>
    </xf>
    <xf numFmtId="0" fontId="11" fillId="0" borderId="1" xfId="0" applyFont="1" applyBorder="1" applyAlignment="1">
      <alignment wrapText="1"/>
    </xf>
    <xf numFmtId="0" fontId="10" fillId="0" borderId="1" xfId="0" applyFont="1" applyBorder="1"/>
    <xf numFmtId="1" fontId="9" fillId="0" borderId="1" xfId="0" applyNumberFormat="1" applyFont="1" applyFill="1" applyBorder="1" applyAlignment="1" applyProtection="1">
      <alignment horizontal="center"/>
      <protection hidden="1"/>
    </xf>
    <xf numFmtId="0" fontId="9" fillId="0" borderId="1" xfId="0" applyFont="1" applyFill="1" applyBorder="1" applyAlignment="1" applyProtection="1">
      <alignment horizontal="center"/>
      <protection hidden="1"/>
    </xf>
    <xf numFmtId="1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" fontId="12" fillId="2" borderId="1" xfId="2" applyNumberFormat="1" applyFont="1" applyFill="1" applyBorder="1" applyAlignment="1">
      <alignment horizontal="left" vertical="center"/>
    </xf>
    <xf numFmtId="4" fontId="9" fillId="0" borderId="2" xfId="0" applyNumberFormat="1" applyFont="1" applyFill="1" applyBorder="1" applyAlignment="1"/>
    <xf numFmtId="4" fontId="9" fillId="0" borderId="1" xfId="0" applyNumberFormat="1" applyFont="1" applyFill="1" applyBorder="1" applyAlignment="1"/>
    <xf numFmtId="0" fontId="12" fillId="0" borderId="10" xfId="0" applyFont="1" applyBorder="1" applyAlignment="1">
      <alignment vertical="center"/>
    </xf>
    <xf numFmtId="1" fontId="12" fillId="0" borderId="12" xfId="0" applyNumberFormat="1" applyFont="1" applyBorder="1" applyAlignment="1">
      <alignment vertical="center"/>
    </xf>
    <xf numFmtId="1" fontId="3" fillId="2" borderId="3" xfId="0" quotePrefix="1" applyNumberFormat="1" applyFont="1" applyFill="1" applyBorder="1" applyAlignment="1" applyProtection="1">
      <protection hidden="1"/>
    </xf>
    <xf numFmtId="1" fontId="3" fillId="2" borderId="4" xfId="0" quotePrefix="1" applyNumberFormat="1" applyFont="1" applyFill="1" applyBorder="1" applyAlignment="1" applyProtection="1">
      <protection hidden="1"/>
    </xf>
    <xf numFmtId="0" fontId="12" fillId="0" borderId="14" xfId="0" applyFont="1" applyFill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0" fillId="0" borderId="0" xfId="0" applyFill="1"/>
    <xf numFmtId="1" fontId="3" fillId="2" borderId="1" xfId="0" applyNumberFormat="1" applyFont="1" applyFill="1" applyBorder="1" applyAlignment="1" applyProtection="1">
      <protection hidden="1"/>
    </xf>
    <xf numFmtId="4" fontId="3" fillId="2" borderId="0" xfId="0" applyNumberFormat="1" applyFont="1" applyFill="1" applyBorder="1" applyAlignment="1" applyProtection="1">
      <protection hidden="1"/>
    </xf>
    <xf numFmtId="1" fontId="3" fillId="2" borderId="15" xfId="0" quotePrefix="1" applyNumberFormat="1" applyFont="1" applyFill="1" applyBorder="1" applyAlignment="1" applyProtection="1">
      <protection hidden="1"/>
    </xf>
    <xf numFmtId="167" fontId="3" fillId="0" borderId="8" xfId="5" quotePrefix="1" applyNumberFormat="1" applyFont="1" applyFill="1" applyBorder="1" applyAlignment="1" applyProtection="1">
      <protection hidden="1"/>
    </xf>
    <xf numFmtId="167" fontId="3" fillId="0" borderId="16" xfId="5" quotePrefix="1" applyNumberFormat="1" applyFont="1" applyFill="1" applyBorder="1" applyAlignment="1" applyProtection="1">
      <protection hidden="1"/>
    </xf>
    <xf numFmtId="167" fontId="3" fillId="0" borderId="17" xfId="5" quotePrefix="1" applyNumberFormat="1" applyFont="1" applyFill="1" applyBorder="1" applyAlignment="1" applyProtection="1">
      <protection hidden="1"/>
    </xf>
    <xf numFmtId="1" fontId="3" fillId="2" borderId="1" xfId="0" quotePrefix="1" applyNumberFormat="1" applyFont="1" applyFill="1" applyBorder="1" applyAlignment="1" applyProtection="1">
      <protection hidden="1"/>
    </xf>
    <xf numFmtId="166" fontId="3" fillId="0" borderId="1" xfId="4" quotePrefix="1" applyNumberFormat="1" applyFont="1" applyFill="1" applyBorder="1" applyAlignment="1" applyProtection="1">
      <protection hidden="1"/>
    </xf>
    <xf numFmtId="0" fontId="12" fillId="2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1" fontId="7" fillId="4" borderId="18" xfId="0" quotePrefix="1" applyNumberFormat="1" applyFont="1" applyFill="1" applyBorder="1" applyAlignment="1">
      <alignment horizontal="center" vertical="center"/>
    </xf>
    <xf numFmtId="1" fontId="7" fillId="4" borderId="19" xfId="0" quotePrefix="1" applyNumberFormat="1" applyFont="1" applyFill="1" applyBorder="1" applyAlignment="1">
      <alignment horizontal="center" vertical="center"/>
    </xf>
    <xf numFmtId="1" fontId="12" fillId="0" borderId="19" xfId="0" applyNumberFormat="1" applyFont="1" applyBorder="1" applyAlignment="1">
      <alignment vertical="center"/>
    </xf>
    <xf numFmtId="1" fontId="1" fillId="2" borderId="13" xfId="0" quotePrefix="1" applyNumberFormat="1" applyFont="1" applyFill="1" applyBorder="1"/>
    <xf numFmtId="4" fontId="3" fillId="0" borderId="2" xfId="0" applyNumberFormat="1" applyFont="1" applyFill="1" applyBorder="1" applyAlignment="1" applyProtection="1">
      <alignment horizontal="right"/>
      <protection hidden="1"/>
    </xf>
    <xf numFmtId="0" fontId="7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" fillId="0" borderId="1" xfId="1" applyBorder="1"/>
    <xf numFmtId="1" fontId="9" fillId="0" borderId="13" xfId="0" quotePrefix="1" applyNumberFormat="1" applyFont="1" applyFill="1" applyBorder="1" applyAlignment="1" applyProtection="1">
      <protection hidden="1"/>
    </xf>
    <xf numFmtId="0" fontId="2" fillId="0" borderId="1" xfId="1" applyFont="1" applyBorder="1"/>
    <xf numFmtId="0" fontId="13" fillId="0" borderId="1" xfId="0" applyFont="1" applyBorder="1"/>
    <xf numFmtId="1" fontId="3" fillId="0" borderId="3" xfId="0" applyNumberFormat="1" applyFont="1" applyFill="1" applyBorder="1" applyAlignment="1" applyProtection="1">
      <protection hidden="1"/>
    </xf>
    <xf numFmtId="0" fontId="0" fillId="5" borderId="0" xfId="0" applyFill="1"/>
    <xf numFmtId="0" fontId="2" fillId="0" borderId="0" xfId="1"/>
    <xf numFmtId="0" fontId="2" fillId="0" borderId="0" xfId="1"/>
    <xf numFmtId="0" fontId="2" fillId="0" borderId="0" xfId="1"/>
  </cellXfs>
  <cellStyles count="6">
    <cellStyle name="Comma" xfId="5" builtinId="3"/>
    <cellStyle name="Currency" xfId="4" builtinId="4"/>
    <cellStyle name="Millares 2" xfId="3" xr:uid="{00000000-0005-0000-0000-000001000000}"/>
    <cellStyle name="Normal" xfId="0" builtinId="0"/>
    <cellStyle name="Normal 2" xfId="1" xr:uid="{00000000-0005-0000-0000-000004000000}"/>
    <cellStyle name="Normal 3" xfId="2" xr:uid="{00000000-0005-0000-0000-000005000000}"/>
  </cellStyles>
  <dxfs count="28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66" formatCode="_(&quot;$&quot;* #,##0_);_(&quot;$&quot;* \(#,##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119</xdr:row>
      <xdr:rowOff>9525</xdr:rowOff>
    </xdr:from>
    <xdr:to>
      <xdr:col>2</xdr:col>
      <xdr:colOff>381000</xdr:colOff>
      <xdr:row>119</xdr:row>
      <xdr:rowOff>171450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396615" y="10936605"/>
          <a:ext cx="123825" cy="161925"/>
        </a:xfrm>
        <a:prstGeom prst="downArrow">
          <a:avLst>
            <a:gd name="adj1" fmla="val 50000"/>
            <a:gd name="adj2" fmla="val 307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13" totalsRowShown="0" headerRowDxfId="18" dataDxfId="16" headerRowBorderDxfId="17" tableBorderDxfId="15">
  <autoFilter ref="A1:J113" xr:uid="{00000000-000C-0000-FFFF-FFFF00000000}"/>
  <sortState xmlns:xlrd2="http://schemas.microsoft.com/office/spreadsheetml/2017/richdata2" ref="A2:J113">
    <sortCondition ref="B1:B113"/>
  </sortState>
  <tableColumns count="10">
    <tableColumn id="1" xr3:uid="{00000000-0010-0000-0000-000001000000}" name="COD." dataDxfId="14"/>
    <tableColumn id="2" xr3:uid="{00000000-0010-0000-0000-000002000000}" name="FAM" dataDxfId="13"/>
    <tableColumn id="3" xr3:uid="{00000000-0010-0000-0000-000003000000}" name="PRODUCTO" dataDxfId="12"/>
    <tableColumn id="4" xr3:uid="{00000000-0010-0000-0000-000004000000}" name="UND" dataDxfId="11">
      <calculatedColumnFormula>_xlfn.NUMBERVALUE(IFERROR(VLOOKUP(TEXT(A2,"#"),'EXCEL SMX'!B:I,8,0),0))</calculatedColumnFormula>
    </tableColumn>
    <tableColumn id="5" xr3:uid="{00000000-0010-0000-0000-000005000000}" name="# CAJAS" dataDxfId="10">
      <calculatedColumnFormula>_xlfn.NUMBERVALUE(VLOOKUP(A2,'FINAL BODEGA'!A:D,4,0))</calculatedColumnFormula>
    </tableColumn>
    <tableColumn id="6" xr3:uid="{00000000-0010-0000-0000-000006000000}" name="UNIDAD" dataDxfId="9">
      <calculatedColumnFormula>D2*E2</calculatedColumnFormula>
    </tableColumn>
    <tableColumn id="7" xr3:uid="{00000000-0010-0000-0000-000007000000}" name="VALOR" dataDxfId="8">
      <calculatedColumnFormula>IFERROR(_xlfn.NUMBERVALUE(SUBSTITUTE(VLOOKUP(TEXT(A2,"#"),'EXCEL SMX'!B:Q,9,0),",",".")),"0")*F2</calculatedColumnFormula>
    </tableColumn>
    <tableColumn id="8" xr3:uid="{00000000-0010-0000-0000-000008000000}" name="DESCTO." dataDxfId="7">
      <calculatedColumnFormula>IFERROR(_xlfn.NUMBERVALUE(SUBSTITUTE(VLOOKUP(TEXT(A2,"#"),'EXCEL SMX'!B:Q,16,0),",","."))/100,"0")*G2</calculatedColumnFormula>
    </tableColumn>
    <tableColumn id="9" xr3:uid="{00000000-0010-0000-0000-000009000000}" name="USD" dataDxfId="6">
      <calculatedColumnFormula>G2-H2</calculatedColumnFormula>
    </tableColumn>
    <tableColumn id="11" xr3:uid="{00000000-0010-0000-0000-00000B000000}" name="IVA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99"/>
  <sheetViews>
    <sheetView tabSelected="1" workbookViewId="0">
      <selection sqref="A1:XFD1048576"/>
    </sheetView>
  </sheetViews>
  <sheetFormatPr baseColWidth="10" defaultColWidth="9.1640625" defaultRowHeight="15"/>
  <cols>
    <col min="1" max="1" width="2.1640625" style="1" bestFit="1" customWidth="1"/>
    <col min="2" max="2" width="14.1640625" style="1" bestFit="1" customWidth="1"/>
    <col min="3" max="3" width="30.1640625" style="1" bestFit="1" customWidth="1"/>
    <col min="4" max="4" width="14.6640625" style="1" bestFit="1" customWidth="1"/>
    <col min="5" max="5" width="9.1640625" style="1"/>
    <col min="6" max="6" width="7.1640625" style="1" bestFit="1" customWidth="1"/>
    <col min="7" max="7" width="10.1640625" style="1" bestFit="1" customWidth="1"/>
    <col min="8" max="8" width="12.5" style="1" bestFit="1" customWidth="1"/>
    <col min="9" max="9" width="6" style="1" bestFit="1" customWidth="1"/>
    <col min="10" max="10" width="10.83203125" style="1" bestFit="1" customWidth="1"/>
    <col min="11" max="14" width="6.33203125" style="1" bestFit="1" customWidth="1"/>
    <col min="15" max="15" width="7.33203125" style="1" bestFit="1" customWidth="1"/>
    <col min="16" max="16" width="7.1640625" style="1" bestFit="1" customWidth="1"/>
    <col min="17" max="17" width="7.83203125" style="1" bestFit="1" customWidth="1"/>
    <col min="18" max="18" width="6.6640625" style="1" bestFit="1" customWidth="1"/>
    <col min="19" max="19" width="7.1640625" style="96" bestFit="1" customWidth="1"/>
    <col min="20" max="20" width="5.6640625" style="1" bestFit="1" customWidth="1"/>
    <col min="21" max="21" width="4.6640625" style="1" bestFit="1" customWidth="1"/>
    <col min="22" max="22" width="13.6640625" style="1" bestFit="1" customWidth="1"/>
    <col min="23" max="16384" width="9.1640625" style="1"/>
  </cols>
  <sheetData>
    <row r="1" spans="1:22">
      <c r="A1" s="99" t="s">
        <v>405</v>
      </c>
      <c r="B1" s="99" t="s">
        <v>406</v>
      </c>
      <c r="C1" s="99" t="s">
        <v>407</v>
      </c>
      <c r="D1" s="99" t="s">
        <v>408</v>
      </c>
      <c r="E1" s="99" t="s">
        <v>409</v>
      </c>
      <c r="F1" s="99" t="s">
        <v>90</v>
      </c>
      <c r="G1" s="99" t="s">
        <v>410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</row>
    <row r="2" spans="1:22">
      <c r="A2" s="99" t="s">
        <v>411</v>
      </c>
      <c r="B2" s="99" t="s">
        <v>412</v>
      </c>
      <c r="C2" s="99" t="s">
        <v>487</v>
      </c>
      <c r="D2" s="99" t="s">
        <v>610</v>
      </c>
      <c r="E2" s="99" t="s">
        <v>610</v>
      </c>
      <c r="F2" s="99" t="s">
        <v>413</v>
      </c>
      <c r="G2" s="99" t="s">
        <v>611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</row>
    <row r="3" spans="1:22">
      <c r="A3" s="99" t="s">
        <v>405</v>
      </c>
      <c r="B3" s="99" t="s">
        <v>414</v>
      </c>
      <c r="C3" s="99" t="s">
        <v>415</v>
      </c>
      <c r="D3" s="99" t="s">
        <v>416</v>
      </c>
      <c r="E3" s="99" t="s">
        <v>417</v>
      </c>
      <c r="F3" s="99" t="s">
        <v>418</v>
      </c>
      <c r="G3" s="99" t="s">
        <v>419</v>
      </c>
      <c r="H3" s="99" t="s">
        <v>420</v>
      </c>
      <c r="I3" s="99" t="s">
        <v>421</v>
      </c>
      <c r="J3" s="99" t="s">
        <v>422</v>
      </c>
      <c r="K3" s="99" t="s">
        <v>423</v>
      </c>
      <c r="L3" s="99" t="s">
        <v>424</v>
      </c>
      <c r="M3" s="99" t="s">
        <v>425</v>
      </c>
      <c r="N3" s="99" t="s">
        <v>426</v>
      </c>
      <c r="O3" s="99" t="s">
        <v>427</v>
      </c>
      <c r="P3" s="99" t="s">
        <v>428</v>
      </c>
      <c r="Q3" s="99" t="s">
        <v>429</v>
      </c>
      <c r="R3" s="99" t="s">
        <v>430</v>
      </c>
      <c r="S3" s="99" t="s">
        <v>431</v>
      </c>
      <c r="T3" s="99" t="s">
        <v>432</v>
      </c>
      <c r="U3" s="99" t="s">
        <v>10</v>
      </c>
      <c r="V3" s="99" t="s">
        <v>433</v>
      </c>
    </row>
    <row r="4" spans="1:22">
      <c r="A4" s="99" t="s">
        <v>434</v>
      </c>
      <c r="B4" s="99" t="s">
        <v>359</v>
      </c>
      <c r="C4" s="99" t="s">
        <v>488</v>
      </c>
      <c r="D4" s="99" t="s">
        <v>359</v>
      </c>
      <c r="E4" s="99" t="s">
        <v>436</v>
      </c>
      <c r="F4" s="99" t="s">
        <v>436</v>
      </c>
      <c r="G4" s="99" t="s">
        <v>489</v>
      </c>
      <c r="H4" s="99" t="s">
        <v>437</v>
      </c>
      <c r="I4" s="99" t="s">
        <v>442</v>
      </c>
      <c r="J4" s="99" t="s">
        <v>490</v>
      </c>
      <c r="K4" s="99" t="s">
        <v>438</v>
      </c>
      <c r="L4" s="99" t="s">
        <v>438</v>
      </c>
      <c r="M4" s="99" t="s">
        <v>438</v>
      </c>
      <c r="N4" s="99" t="s">
        <v>438</v>
      </c>
      <c r="O4" s="99" t="s">
        <v>438</v>
      </c>
      <c r="P4" s="99" t="s">
        <v>438</v>
      </c>
      <c r="Q4" s="99" t="s">
        <v>597</v>
      </c>
      <c r="R4" s="99" t="s">
        <v>438</v>
      </c>
      <c r="S4" s="99" t="s">
        <v>593</v>
      </c>
      <c r="T4" s="99" t="s">
        <v>439</v>
      </c>
      <c r="U4" s="99" t="s">
        <v>438</v>
      </c>
      <c r="V4" s="99" t="s">
        <v>612</v>
      </c>
    </row>
    <row r="5" spans="1:22">
      <c r="A5" s="99" t="s">
        <v>434</v>
      </c>
      <c r="B5" s="99" t="s">
        <v>238</v>
      </c>
      <c r="C5" s="99" t="s">
        <v>491</v>
      </c>
      <c r="D5" s="99" t="s">
        <v>494</v>
      </c>
      <c r="E5" s="99" t="s">
        <v>436</v>
      </c>
      <c r="F5" s="99" t="s">
        <v>436</v>
      </c>
      <c r="G5" s="99" t="s">
        <v>495</v>
      </c>
      <c r="H5" s="99" t="s">
        <v>437</v>
      </c>
      <c r="I5" s="99" t="s">
        <v>457</v>
      </c>
      <c r="J5" s="99" t="s">
        <v>496</v>
      </c>
      <c r="K5" s="99" t="s">
        <v>438</v>
      </c>
      <c r="L5" s="99" t="s">
        <v>438</v>
      </c>
      <c r="M5" s="99" t="s">
        <v>438</v>
      </c>
      <c r="N5" s="99" t="s">
        <v>438</v>
      </c>
      <c r="O5" s="99" t="s">
        <v>438</v>
      </c>
      <c r="P5" s="99" t="s">
        <v>438</v>
      </c>
      <c r="Q5" s="99" t="s">
        <v>438</v>
      </c>
      <c r="R5" s="99" t="s">
        <v>438</v>
      </c>
      <c r="S5" s="99" t="s">
        <v>591</v>
      </c>
      <c r="T5" s="99" t="s">
        <v>439</v>
      </c>
      <c r="U5" s="99" t="s">
        <v>438</v>
      </c>
      <c r="V5" s="99" t="s">
        <v>612</v>
      </c>
    </row>
    <row r="6" spans="1:22">
      <c r="A6" s="99" t="s">
        <v>434</v>
      </c>
      <c r="B6" s="99" t="s">
        <v>239</v>
      </c>
      <c r="C6" s="99" t="s">
        <v>491</v>
      </c>
      <c r="D6" s="99" t="s">
        <v>492</v>
      </c>
      <c r="E6" s="99" t="s">
        <v>436</v>
      </c>
      <c r="F6" s="99" t="s">
        <v>436</v>
      </c>
      <c r="G6" s="99" t="s">
        <v>456</v>
      </c>
      <c r="H6" s="99" t="s">
        <v>437</v>
      </c>
      <c r="I6" s="99" t="s">
        <v>441</v>
      </c>
      <c r="J6" s="99" t="s">
        <v>493</v>
      </c>
      <c r="K6" s="99" t="s">
        <v>438</v>
      </c>
      <c r="L6" s="99" t="s">
        <v>438</v>
      </c>
      <c r="M6" s="99" t="s">
        <v>438</v>
      </c>
      <c r="N6" s="99" t="s">
        <v>438</v>
      </c>
      <c r="O6" s="99" t="s">
        <v>438</v>
      </c>
      <c r="P6" s="99" t="s">
        <v>438</v>
      </c>
      <c r="Q6" s="99" t="s">
        <v>597</v>
      </c>
      <c r="R6" s="99" t="s">
        <v>438</v>
      </c>
      <c r="S6" s="99" t="s">
        <v>607</v>
      </c>
      <c r="T6" s="99" t="s">
        <v>439</v>
      </c>
      <c r="U6" s="99" t="s">
        <v>438</v>
      </c>
      <c r="V6" s="99" t="s">
        <v>612</v>
      </c>
    </row>
    <row r="7" spans="1:22">
      <c r="A7" s="99" t="s">
        <v>434</v>
      </c>
      <c r="B7" s="99" t="s">
        <v>243</v>
      </c>
      <c r="C7" s="99" t="s">
        <v>497</v>
      </c>
      <c r="D7" s="99" t="s">
        <v>499</v>
      </c>
      <c r="E7" s="99" t="s">
        <v>436</v>
      </c>
      <c r="F7" s="99" t="s">
        <v>436</v>
      </c>
      <c r="G7" s="99" t="s">
        <v>495</v>
      </c>
      <c r="H7" s="99" t="s">
        <v>437</v>
      </c>
      <c r="I7" s="99" t="s">
        <v>457</v>
      </c>
      <c r="J7" s="99" t="s">
        <v>500</v>
      </c>
      <c r="K7" s="99" t="s">
        <v>438</v>
      </c>
      <c r="L7" s="99" t="s">
        <v>438</v>
      </c>
      <c r="M7" s="99" t="s">
        <v>438</v>
      </c>
      <c r="N7" s="99" t="s">
        <v>438</v>
      </c>
      <c r="O7" s="99" t="s">
        <v>438</v>
      </c>
      <c r="P7" s="99" t="s">
        <v>438</v>
      </c>
      <c r="Q7" s="99" t="s">
        <v>597</v>
      </c>
      <c r="R7" s="99" t="s">
        <v>438</v>
      </c>
      <c r="S7" s="99" t="s">
        <v>592</v>
      </c>
      <c r="T7" s="99" t="s">
        <v>439</v>
      </c>
      <c r="U7" s="99" t="s">
        <v>438</v>
      </c>
      <c r="V7" s="99" t="s">
        <v>612</v>
      </c>
    </row>
    <row r="8" spans="1:22">
      <c r="A8" s="99" t="s">
        <v>434</v>
      </c>
      <c r="B8" s="99" t="s">
        <v>244</v>
      </c>
      <c r="C8" s="99" t="s">
        <v>497</v>
      </c>
      <c r="D8" s="99" t="s">
        <v>498</v>
      </c>
      <c r="E8" s="99" t="s">
        <v>436</v>
      </c>
      <c r="F8" s="99" t="s">
        <v>436</v>
      </c>
      <c r="G8" s="99" t="s">
        <v>456</v>
      </c>
      <c r="H8" s="99" t="s">
        <v>437</v>
      </c>
      <c r="I8" s="99" t="s">
        <v>441</v>
      </c>
      <c r="J8" s="99" t="s">
        <v>493</v>
      </c>
      <c r="K8" s="99" t="s">
        <v>438</v>
      </c>
      <c r="L8" s="99" t="s">
        <v>438</v>
      </c>
      <c r="M8" s="99" t="s">
        <v>438</v>
      </c>
      <c r="N8" s="99" t="s">
        <v>438</v>
      </c>
      <c r="O8" s="99" t="s">
        <v>438</v>
      </c>
      <c r="P8" s="99" t="s">
        <v>438</v>
      </c>
      <c r="Q8" s="99" t="s">
        <v>438</v>
      </c>
      <c r="R8" s="99" t="s">
        <v>438</v>
      </c>
      <c r="S8" s="99" t="s">
        <v>609</v>
      </c>
      <c r="T8" s="99" t="s">
        <v>439</v>
      </c>
      <c r="U8" s="99" t="s">
        <v>438</v>
      </c>
      <c r="V8" s="99" t="s">
        <v>612</v>
      </c>
    </row>
    <row r="9" spans="1:22">
      <c r="A9" s="99" t="s">
        <v>434</v>
      </c>
      <c r="B9" s="99" t="s">
        <v>245</v>
      </c>
      <c r="C9" s="99" t="s">
        <v>501</v>
      </c>
      <c r="D9" s="99" t="s">
        <v>499</v>
      </c>
      <c r="E9" s="99" t="s">
        <v>436</v>
      </c>
      <c r="F9" s="99" t="s">
        <v>436</v>
      </c>
      <c r="G9" s="99" t="s">
        <v>495</v>
      </c>
      <c r="H9" s="99" t="s">
        <v>437</v>
      </c>
      <c r="I9" s="99" t="s">
        <v>457</v>
      </c>
      <c r="J9" s="99" t="s">
        <v>500</v>
      </c>
      <c r="K9" s="99" t="s">
        <v>438</v>
      </c>
      <c r="L9" s="99" t="s">
        <v>438</v>
      </c>
      <c r="M9" s="99" t="s">
        <v>438</v>
      </c>
      <c r="N9" s="99" t="s">
        <v>438</v>
      </c>
      <c r="O9" s="99" t="s">
        <v>438</v>
      </c>
      <c r="P9" s="99" t="s">
        <v>438</v>
      </c>
      <c r="Q9" s="99" t="s">
        <v>438</v>
      </c>
      <c r="R9" s="99" t="s">
        <v>438</v>
      </c>
      <c r="S9" s="99" t="s">
        <v>613</v>
      </c>
      <c r="T9" s="99" t="s">
        <v>439</v>
      </c>
      <c r="U9" s="99" t="s">
        <v>438</v>
      </c>
      <c r="V9" s="99" t="s">
        <v>612</v>
      </c>
    </row>
    <row r="10" spans="1:22">
      <c r="A10" s="99" t="s">
        <v>434</v>
      </c>
      <c r="B10" s="99" t="s">
        <v>246</v>
      </c>
      <c r="C10" s="99" t="s">
        <v>502</v>
      </c>
      <c r="D10" s="99" t="s">
        <v>503</v>
      </c>
      <c r="E10" s="99" t="s">
        <v>436</v>
      </c>
      <c r="F10" s="99" t="s">
        <v>436</v>
      </c>
      <c r="G10" s="99" t="s">
        <v>456</v>
      </c>
      <c r="H10" s="99" t="s">
        <v>437</v>
      </c>
      <c r="I10" s="99" t="s">
        <v>441</v>
      </c>
      <c r="J10" s="99" t="s">
        <v>493</v>
      </c>
      <c r="K10" s="99" t="s">
        <v>438</v>
      </c>
      <c r="L10" s="99" t="s">
        <v>438</v>
      </c>
      <c r="M10" s="99" t="s">
        <v>438</v>
      </c>
      <c r="N10" s="99" t="s">
        <v>438</v>
      </c>
      <c r="O10" s="99" t="s">
        <v>438</v>
      </c>
      <c r="P10" s="99" t="s">
        <v>438</v>
      </c>
      <c r="Q10" s="99" t="s">
        <v>438</v>
      </c>
      <c r="R10" s="99" t="s">
        <v>438</v>
      </c>
      <c r="S10" s="99" t="s">
        <v>614</v>
      </c>
      <c r="T10" s="99" t="s">
        <v>439</v>
      </c>
      <c r="U10" s="99" t="s">
        <v>438</v>
      </c>
      <c r="V10" s="99" t="s">
        <v>612</v>
      </c>
    </row>
    <row r="11" spans="1:22">
      <c r="A11" s="99" t="s">
        <v>434</v>
      </c>
      <c r="B11" s="99" t="s">
        <v>504</v>
      </c>
      <c r="C11" s="99" t="s">
        <v>505</v>
      </c>
      <c r="D11" s="99" t="s">
        <v>504</v>
      </c>
      <c r="E11" s="99" t="s">
        <v>436</v>
      </c>
      <c r="F11" s="99" t="s">
        <v>436</v>
      </c>
      <c r="G11" s="99" t="s">
        <v>506</v>
      </c>
      <c r="H11" s="99" t="s">
        <v>507</v>
      </c>
      <c r="I11" s="99" t="s">
        <v>508</v>
      </c>
      <c r="J11" s="99" t="s">
        <v>509</v>
      </c>
      <c r="K11" s="99" t="s">
        <v>438</v>
      </c>
      <c r="L11" s="99" t="s">
        <v>438</v>
      </c>
      <c r="M11" s="99" t="s">
        <v>438</v>
      </c>
      <c r="N11" s="99" t="s">
        <v>438</v>
      </c>
      <c r="O11" s="99" t="s">
        <v>438</v>
      </c>
      <c r="P11" s="99" t="s">
        <v>438</v>
      </c>
      <c r="Q11" s="99" t="s">
        <v>438</v>
      </c>
      <c r="R11" s="99" t="s">
        <v>438</v>
      </c>
      <c r="S11" s="99" t="s">
        <v>605</v>
      </c>
      <c r="T11" s="99" t="s">
        <v>439</v>
      </c>
      <c r="U11" s="99" t="s">
        <v>438</v>
      </c>
      <c r="V11" s="99" t="s">
        <v>612</v>
      </c>
    </row>
    <row r="12" spans="1:22">
      <c r="A12" s="99" t="s">
        <v>434</v>
      </c>
      <c r="B12" s="99" t="s">
        <v>510</v>
      </c>
      <c r="C12" s="99" t="s">
        <v>511</v>
      </c>
      <c r="D12" s="99" t="s">
        <v>510</v>
      </c>
      <c r="E12" s="99" t="s">
        <v>436</v>
      </c>
      <c r="F12" s="99" t="s">
        <v>436</v>
      </c>
      <c r="G12" s="99" t="s">
        <v>512</v>
      </c>
      <c r="H12" s="99" t="s">
        <v>507</v>
      </c>
      <c r="I12" s="99" t="s">
        <v>441</v>
      </c>
      <c r="J12" s="99" t="s">
        <v>513</v>
      </c>
      <c r="K12" s="99" t="s">
        <v>438</v>
      </c>
      <c r="L12" s="99" t="s">
        <v>438</v>
      </c>
      <c r="M12" s="99" t="s">
        <v>438</v>
      </c>
      <c r="N12" s="99" t="s">
        <v>438</v>
      </c>
      <c r="O12" s="99" t="s">
        <v>438</v>
      </c>
      <c r="P12" s="99" t="s">
        <v>438</v>
      </c>
      <c r="Q12" s="99" t="s">
        <v>438</v>
      </c>
      <c r="R12" s="99" t="s">
        <v>438</v>
      </c>
      <c r="S12" s="99" t="s">
        <v>615</v>
      </c>
      <c r="T12" s="99" t="s">
        <v>439</v>
      </c>
      <c r="U12" s="99" t="s">
        <v>438</v>
      </c>
      <c r="V12" s="99" t="s">
        <v>612</v>
      </c>
    </row>
    <row r="13" spans="1:22">
      <c r="A13" s="99" t="s">
        <v>434</v>
      </c>
      <c r="B13" s="99" t="s">
        <v>514</v>
      </c>
      <c r="C13" s="99" t="s">
        <v>515</v>
      </c>
      <c r="D13" s="99" t="s">
        <v>514</v>
      </c>
      <c r="E13" s="99" t="s">
        <v>436</v>
      </c>
      <c r="F13" s="99" t="s">
        <v>436</v>
      </c>
      <c r="G13" s="99" t="s">
        <v>512</v>
      </c>
      <c r="H13" s="99" t="s">
        <v>507</v>
      </c>
      <c r="I13" s="99" t="s">
        <v>441</v>
      </c>
      <c r="J13" s="99" t="s">
        <v>513</v>
      </c>
      <c r="K13" s="99" t="s">
        <v>438</v>
      </c>
      <c r="L13" s="99" t="s">
        <v>438</v>
      </c>
      <c r="M13" s="99" t="s">
        <v>438</v>
      </c>
      <c r="N13" s="99" t="s">
        <v>438</v>
      </c>
      <c r="O13" s="99" t="s">
        <v>438</v>
      </c>
      <c r="P13" s="99" t="s">
        <v>438</v>
      </c>
      <c r="Q13" s="99" t="s">
        <v>438</v>
      </c>
      <c r="R13" s="99" t="s">
        <v>438</v>
      </c>
      <c r="S13" s="99" t="s">
        <v>616</v>
      </c>
      <c r="T13" s="99" t="s">
        <v>439</v>
      </c>
      <c r="U13" s="99" t="s">
        <v>438</v>
      </c>
      <c r="V13" s="99" t="s">
        <v>612</v>
      </c>
    </row>
    <row r="14" spans="1:22">
      <c r="A14" s="99" t="s">
        <v>434</v>
      </c>
      <c r="B14" s="99" t="s">
        <v>248</v>
      </c>
      <c r="C14" s="99" t="s">
        <v>458</v>
      </c>
      <c r="D14" s="99" t="s">
        <v>248</v>
      </c>
      <c r="E14" s="99" t="s">
        <v>436</v>
      </c>
      <c r="F14" s="99" t="s">
        <v>436</v>
      </c>
      <c r="G14" s="99" t="s">
        <v>443</v>
      </c>
      <c r="H14" s="99" t="s">
        <v>437</v>
      </c>
      <c r="I14" s="99" t="s">
        <v>444</v>
      </c>
      <c r="J14" s="99" t="s">
        <v>459</v>
      </c>
      <c r="K14" s="99" t="s">
        <v>438</v>
      </c>
      <c r="L14" s="99" t="s">
        <v>438</v>
      </c>
      <c r="M14" s="99" t="s">
        <v>438</v>
      </c>
      <c r="N14" s="99" t="s">
        <v>438</v>
      </c>
      <c r="O14" s="99" t="s">
        <v>438</v>
      </c>
      <c r="P14" s="99" t="s">
        <v>438</v>
      </c>
      <c r="Q14" s="99" t="s">
        <v>597</v>
      </c>
      <c r="R14" s="99" t="s">
        <v>438</v>
      </c>
      <c r="S14" s="99" t="s">
        <v>617</v>
      </c>
      <c r="T14" s="99" t="s">
        <v>439</v>
      </c>
      <c r="U14" s="99" t="s">
        <v>438</v>
      </c>
      <c r="V14" s="99" t="s">
        <v>612</v>
      </c>
    </row>
    <row r="15" spans="1:22">
      <c r="A15" s="99" t="s">
        <v>434</v>
      </c>
      <c r="B15" s="99" t="s">
        <v>249</v>
      </c>
      <c r="C15" s="99" t="s">
        <v>460</v>
      </c>
      <c r="D15" s="99" t="s">
        <v>461</v>
      </c>
      <c r="E15" s="99" t="s">
        <v>436</v>
      </c>
      <c r="F15" s="99" t="s">
        <v>436</v>
      </c>
      <c r="G15" s="99" t="s">
        <v>445</v>
      </c>
      <c r="H15" s="99" t="s">
        <v>437</v>
      </c>
      <c r="I15" s="99" t="s">
        <v>457</v>
      </c>
      <c r="J15" s="99" t="s">
        <v>462</v>
      </c>
      <c r="K15" s="99" t="s">
        <v>438</v>
      </c>
      <c r="L15" s="99" t="s">
        <v>438</v>
      </c>
      <c r="M15" s="99" t="s">
        <v>438</v>
      </c>
      <c r="N15" s="99" t="s">
        <v>438</v>
      </c>
      <c r="O15" s="99" t="s">
        <v>438</v>
      </c>
      <c r="P15" s="99" t="s">
        <v>438</v>
      </c>
      <c r="Q15" s="99" t="s">
        <v>438</v>
      </c>
      <c r="R15" s="99" t="s">
        <v>438</v>
      </c>
      <c r="S15" s="99" t="s">
        <v>613</v>
      </c>
      <c r="T15" s="99" t="s">
        <v>439</v>
      </c>
      <c r="U15" s="99" t="s">
        <v>438</v>
      </c>
      <c r="V15" s="99" t="s">
        <v>612</v>
      </c>
    </row>
    <row r="16" spans="1:22">
      <c r="A16" s="99" t="s">
        <v>434</v>
      </c>
      <c r="B16" s="99" t="s">
        <v>251</v>
      </c>
      <c r="C16" s="99" t="s">
        <v>463</v>
      </c>
      <c r="D16" s="99" t="s">
        <v>464</v>
      </c>
      <c r="E16" s="99" t="s">
        <v>436</v>
      </c>
      <c r="F16" s="99" t="s">
        <v>436</v>
      </c>
      <c r="G16" s="99" t="s">
        <v>443</v>
      </c>
      <c r="H16" s="99" t="s">
        <v>437</v>
      </c>
      <c r="I16" s="99" t="s">
        <v>442</v>
      </c>
      <c r="J16" s="99" t="s">
        <v>465</v>
      </c>
      <c r="K16" s="99" t="s">
        <v>438</v>
      </c>
      <c r="L16" s="99" t="s">
        <v>438</v>
      </c>
      <c r="M16" s="99" t="s">
        <v>438</v>
      </c>
      <c r="N16" s="99" t="s">
        <v>438</v>
      </c>
      <c r="O16" s="99" t="s">
        <v>438</v>
      </c>
      <c r="P16" s="99" t="s">
        <v>438</v>
      </c>
      <c r="Q16" s="99" t="s">
        <v>438</v>
      </c>
      <c r="R16" s="99" t="s">
        <v>438</v>
      </c>
      <c r="S16" s="99" t="s">
        <v>603</v>
      </c>
      <c r="T16" s="99" t="s">
        <v>439</v>
      </c>
      <c r="U16" s="99" t="s">
        <v>438</v>
      </c>
      <c r="V16" s="99" t="s">
        <v>612</v>
      </c>
    </row>
    <row r="17" spans="1:22">
      <c r="A17" s="99" t="s">
        <v>434</v>
      </c>
      <c r="B17" s="99" t="s">
        <v>253</v>
      </c>
      <c r="C17" s="99" t="s">
        <v>466</v>
      </c>
      <c r="D17" s="99" t="s">
        <v>253</v>
      </c>
      <c r="E17" s="99" t="s">
        <v>436</v>
      </c>
      <c r="F17" s="99" t="s">
        <v>436</v>
      </c>
      <c r="G17" s="99" t="s">
        <v>443</v>
      </c>
      <c r="H17" s="99" t="s">
        <v>437</v>
      </c>
      <c r="I17" s="99" t="s">
        <v>444</v>
      </c>
      <c r="J17" s="99" t="s">
        <v>467</v>
      </c>
      <c r="K17" s="99" t="s">
        <v>438</v>
      </c>
      <c r="L17" s="99" t="s">
        <v>438</v>
      </c>
      <c r="M17" s="99" t="s">
        <v>438</v>
      </c>
      <c r="N17" s="99" t="s">
        <v>438</v>
      </c>
      <c r="O17" s="99" t="s">
        <v>438</v>
      </c>
      <c r="P17" s="99" t="s">
        <v>438</v>
      </c>
      <c r="Q17" s="99" t="s">
        <v>597</v>
      </c>
      <c r="R17" s="99" t="s">
        <v>438</v>
      </c>
      <c r="S17" s="99" t="s">
        <v>601</v>
      </c>
      <c r="T17" s="99" t="s">
        <v>439</v>
      </c>
      <c r="U17" s="99" t="s">
        <v>438</v>
      </c>
      <c r="V17" s="99" t="s">
        <v>612</v>
      </c>
    </row>
    <row r="18" spans="1:22">
      <c r="A18" s="99" t="s">
        <v>434</v>
      </c>
      <c r="B18" s="99" t="s">
        <v>252</v>
      </c>
      <c r="C18" s="99" t="s">
        <v>466</v>
      </c>
      <c r="D18" s="99" t="s">
        <v>468</v>
      </c>
      <c r="E18" s="99" t="s">
        <v>436</v>
      </c>
      <c r="F18" s="99" t="s">
        <v>436</v>
      </c>
      <c r="G18" s="99" t="s">
        <v>469</v>
      </c>
      <c r="H18" s="99" t="s">
        <v>437</v>
      </c>
      <c r="I18" s="99" t="s">
        <v>444</v>
      </c>
      <c r="J18" s="99" t="s">
        <v>470</v>
      </c>
      <c r="K18" s="99" t="s">
        <v>438</v>
      </c>
      <c r="L18" s="99" t="s">
        <v>438</v>
      </c>
      <c r="M18" s="99" t="s">
        <v>438</v>
      </c>
      <c r="N18" s="99" t="s">
        <v>438</v>
      </c>
      <c r="O18" s="99" t="s">
        <v>438</v>
      </c>
      <c r="P18" s="99" t="s">
        <v>438</v>
      </c>
      <c r="Q18" s="99" t="s">
        <v>438</v>
      </c>
      <c r="R18" s="99" t="s">
        <v>438</v>
      </c>
      <c r="S18" s="99" t="s">
        <v>609</v>
      </c>
      <c r="T18" s="99" t="s">
        <v>439</v>
      </c>
      <c r="U18" s="99" t="s">
        <v>438</v>
      </c>
      <c r="V18" s="99" t="s">
        <v>612</v>
      </c>
    </row>
    <row r="19" spans="1:22">
      <c r="A19" s="99" t="s">
        <v>434</v>
      </c>
      <c r="B19" s="99" t="s">
        <v>254</v>
      </c>
      <c r="C19" s="99" t="s">
        <v>516</v>
      </c>
      <c r="D19" s="99" t="s">
        <v>517</v>
      </c>
      <c r="E19" s="99" t="s">
        <v>436</v>
      </c>
      <c r="F19" s="99" t="s">
        <v>436</v>
      </c>
      <c r="G19" s="99" t="s">
        <v>469</v>
      </c>
      <c r="H19" s="99" t="s">
        <v>437</v>
      </c>
      <c r="I19" s="99" t="s">
        <v>441</v>
      </c>
      <c r="J19" s="99" t="s">
        <v>518</v>
      </c>
      <c r="K19" s="99" t="s">
        <v>438</v>
      </c>
      <c r="L19" s="99" t="s">
        <v>438</v>
      </c>
      <c r="M19" s="99" t="s">
        <v>438</v>
      </c>
      <c r="N19" s="99" t="s">
        <v>438</v>
      </c>
      <c r="O19" s="99" t="s">
        <v>438</v>
      </c>
      <c r="P19" s="99" t="s">
        <v>438</v>
      </c>
      <c r="Q19" s="99" t="s">
        <v>438</v>
      </c>
      <c r="R19" s="99" t="s">
        <v>438</v>
      </c>
      <c r="S19" s="99" t="s">
        <v>600</v>
      </c>
      <c r="T19" s="99" t="s">
        <v>439</v>
      </c>
      <c r="U19" s="99" t="s">
        <v>438</v>
      </c>
      <c r="V19" s="99" t="s">
        <v>612</v>
      </c>
    </row>
    <row r="20" spans="1:22">
      <c r="A20" s="99" t="s">
        <v>434</v>
      </c>
      <c r="B20" s="99" t="s">
        <v>256</v>
      </c>
      <c r="C20" s="99" t="s">
        <v>471</v>
      </c>
      <c r="D20" s="99" t="s">
        <v>472</v>
      </c>
      <c r="E20" s="99" t="s">
        <v>436</v>
      </c>
      <c r="F20" s="99" t="s">
        <v>436</v>
      </c>
      <c r="G20" s="99" t="s">
        <v>456</v>
      </c>
      <c r="H20" s="99" t="s">
        <v>437</v>
      </c>
      <c r="I20" s="99" t="s">
        <v>444</v>
      </c>
      <c r="J20" s="99" t="s">
        <v>473</v>
      </c>
      <c r="K20" s="99" t="s">
        <v>438</v>
      </c>
      <c r="L20" s="99" t="s">
        <v>438</v>
      </c>
      <c r="M20" s="99" t="s">
        <v>438</v>
      </c>
      <c r="N20" s="99" t="s">
        <v>438</v>
      </c>
      <c r="O20" s="99" t="s">
        <v>438</v>
      </c>
      <c r="P20" s="99" t="s">
        <v>438</v>
      </c>
      <c r="Q20" s="99" t="s">
        <v>438</v>
      </c>
      <c r="R20" s="99" t="s">
        <v>438</v>
      </c>
      <c r="S20" s="99" t="s">
        <v>607</v>
      </c>
      <c r="T20" s="99" t="s">
        <v>439</v>
      </c>
      <c r="U20" s="99" t="s">
        <v>438</v>
      </c>
      <c r="V20" s="99" t="s">
        <v>612</v>
      </c>
    </row>
    <row r="21" spans="1:22">
      <c r="A21" s="99" t="s">
        <v>434</v>
      </c>
      <c r="B21" s="99" t="s">
        <v>474</v>
      </c>
      <c r="C21" s="99" t="s">
        <v>475</v>
      </c>
      <c r="D21" s="99" t="s">
        <v>474</v>
      </c>
      <c r="E21" s="99" t="s">
        <v>436</v>
      </c>
      <c r="F21" s="99" t="s">
        <v>436</v>
      </c>
      <c r="G21" s="99" t="s">
        <v>469</v>
      </c>
      <c r="H21" s="99" t="s">
        <v>437</v>
      </c>
      <c r="I21" s="99" t="s">
        <v>441</v>
      </c>
      <c r="J21" s="99" t="s">
        <v>455</v>
      </c>
      <c r="K21" s="99" t="s">
        <v>438</v>
      </c>
      <c r="L21" s="99" t="s">
        <v>438</v>
      </c>
      <c r="M21" s="99" t="s">
        <v>438</v>
      </c>
      <c r="N21" s="99" t="s">
        <v>438</v>
      </c>
      <c r="O21" s="99" t="s">
        <v>438</v>
      </c>
      <c r="P21" s="99" t="s">
        <v>438</v>
      </c>
      <c r="Q21" s="99" t="s">
        <v>438</v>
      </c>
      <c r="R21" s="99" t="s">
        <v>438</v>
      </c>
      <c r="S21" s="99" t="s">
        <v>591</v>
      </c>
      <c r="T21" s="99" t="s">
        <v>439</v>
      </c>
      <c r="U21" s="99" t="s">
        <v>438</v>
      </c>
      <c r="V21" s="99" t="s">
        <v>612</v>
      </c>
    </row>
    <row r="22" spans="1:22">
      <c r="A22" s="99" t="s">
        <v>434</v>
      </c>
      <c r="B22" s="99" t="s">
        <v>258</v>
      </c>
      <c r="C22" s="99" t="s">
        <v>476</v>
      </c>
      <c r="D22" s="99" t="s">
        <v>258</v>
      </c>
      <c r="E22" s="99" t="s">
        <v>436</v>
      </c>
      <c r="F22" s="99" t="s">
        <v>436</v>
      </c>
      <c r="G22" s="99" t="s">
        <v>443</v>
      </c>
      <c r="H22" s="99" t="s">
        <v>437</v>
      </c>
      <c r="I22" s="99" t="s">
        <v>444</v>
      </c>
      <c r="J22" s="99" t="s">
        <v>467</v>
      </c>
      <c r="K22" s="99" t="s">
        <v>438</v>
      </c>
      <c r="L22" s="99" t="s">
        <v>438</v>
      </c>
      <c r="M22" s="99" t="s">
        <v>438</v>
      </c>
      <c r="N22" s="99" t="s">
        <v>438</v>
      </c>
      <c r="O22" s="99" t="s">
        <v>438</v>
      </c>
      <c r="P22" s="99" t="s">
        <v>438</v>
      </c>
      <c r="Q22" s="99" t="s">
        <v>438</v>
      </c>
      <c r="R22" s="99" t="s">
        <v>438</v>
      </c>
      <c r="S22" s="99" t="s">
        <v>613</v>
      </c>
      <c r="T22" s="99" t="s">
        <v>439</v>
      </c>
      <c r="U22" s="99" t="s">
        <v>438</v>
      </c>
      <c r="V22" s="99" t="s">
        <v>612</v>
      </c>
    </row>
    <row r="23" spans="1:22">
      <c r="A23" s="99" t="s">
        <v>434</v>
      </c>
      <c r="B23" s="99" t="s">
        <v>519</v>
      </c>
      <c r="C23" s="99" t="s">
        <v>520</v>
      </c>
      <c r="D23" s="99" t="s">
        <v>519</v>
      </c>
      <c r="E23" s="99" t="s">
        <v>436</v>
      </c>
      <c r="F23" s="99" t="s">
        <v>436</v>
      </c>
      <c r="G23" s="99" t="s">
        <v>456</v>
      </c>
      <c r="H23" s="99" t="s">
        <v>507</v>
      </c>
      <c r="I23" s="99" t="s">
        <v>441</v>
      </c>
      <c r="J23" s="99" t="s">
        <v>521</v>
      </c>
      <c r="K23" s="99" t="s">
        <v>438</v>
      </c>
      <c r="L23" s="99" t="s">
        <v>438</v>
      </c>
      <c r="M23" s="99" t="s">
        <v>438</v>
      </c>
      <c r="N23" s="99" t="s">
        <v>438</v>
      </c>
      <c r="O23" s="99" t="s">
        <v>438</v>
      </c>
      <c r="P23" s="99" t="s">
        <v>438</v>
      </c>
      <c r="Q23" s="99" t="s">
        <v>438</v>
      </c>
      <c r="R23" s="99" t="s">
        <v>438</v>
      </c>
      <c r="S23" s="99" t="s">
        <v>602</v>
      </c>
      <c r="T23" s="99" t="s">
        <v>439</v>
      </c>
      <c r="U23" s="99" t="s">
        <v>438</v>
      </c>
      <c r="V23" s="99" t="s">
        <v>612</v>
      </c>
    </row>
    <row r="24" spans="1:22">
      <c r="A24" s="99" t="s">
        <v>434</v>
      </c>
      <c r="B24" s="99" t="s">
        <v>260</v>
      </c>
      <c r="C24" s="99" t="s">
        <v>522</v>
      </c>
      <c r="D24" s="99" t="s">
        <v>523</v>
      </c>
      <c r="E24" s="99" t="s">
        <v>436</v>
      </c>
      <c r="F24" s="99" t="s">
        <v>436</v>
      </c>
      <c r="G24" s="99" t="s">
        <v>440</v>
      </c>
      <c r="H24" s="99" t="s">
        <v>437</v>
      </c>
      <c r="I24" s="99" t="s">
        <v>441</v>
      </c>
      <c r="J24" s="99" t="s">
        <v>524</v>
      </c>
      <c r="K24" s="99" t="s">
        <v>438</v>
      </c>
      <c r="L24" s="99" t="s">
        <v>438</v>
      </c>
      <c r="M24" s="99" t="s">
        <v>438</v>
      </c>
      <c r="N24" s="99" t="s">
        <v>438</v>
      </c>
      <c r="O24" s="99" t="s">
        <v>438</v>
      </c>
      <c r="P24" s="99" t="s">
        <v>438</v>
      </c>
      <c r="Q24" s="99" t="s">
        <v>438</v>
      </c>
      <c r="R24" s="99" t="s">
        <v>438</v>
      </c>
      <c r="S24" s="99" t="s">
        <v>618</v>
      </c>
      <c r="T24" s="99" t="s">
        <v>439</v>
      </c>
      <c r="U24" s="99" t="s">
        <v>438</v>
      </c>
      <c r="V24" s="99" t="s">
        <v>612</v>
      </c>
    </row>
    <row r="25" spans="1:22">
      <c r="A25" s="99" t="s">
        <v>434</v>
      </c>
      <c r="B25" s="99" t="s">
        <v>261</v>
      </c>
      <c r="C25" s="99" t="s">
        <v>477</v>
      </c>
      <c r="D25" s="99" t="s">
        <v>478</v>
      </c>
      <c r="E25" s="99" t="s">
        <v>436</v>
      </c>
      <c r="F25" s="99" t="s">
        <v>436</v>
      </c>
      <c r="G25" s="99" t="s">
        <v>479</v>
      </c>
      <c r="H25" s="99" t="s">
        <v>437</v>
      </c>
      <c r="I25" s="99" t="s">
        <v>441</v>
      </c>
      <c r="J25" s="99" t="s">
        <v>480</v>
      </c>
      <c r="K25" s="99" t="s">
        <v>438</v>
      </c>
      <c r="L25" s="99" t="s">
        <v>438</v>
      </c>
      <c r="M25" s="99" t="s">
        <v>438</v>
      </c>
      <c r="N25" s="99" t="s">
        <v>438</v>
      </c>
      <c r="O25" s="99" t="s">
        <v>438</v>
      </c>
      <c r="P25" s="99" t="s">
        <v>438</v>
      </c>
      <c r="Q25" s="99" t="s">
        <v>597</v>
      </c>
      <c r="R25" s="99" t="s">
        <v>438</v>
      </c>
      <c r="S25" s="99" t="s">
        <v>619</v>
      </c>
      <c r="T25" s="99" t="s">
        <v>439</v>
      </c>
      <c r="U25" s="99" t="s">
        <v>438</v>
      </c>
      <c r="V25" s="99" t="s">
        <v>612</v>
      </c>
    </row>
    <row r="26" spans="1:22">
      <c r="A26" s="99" t="s">
        <v>434</v>
      </c>
      <c r="B26" s="99" t="s">
        <v>263</v>
      </c>
      <c r="C26" s="99" t="s">
        <v>481</v>
      </c>
      <c r="D26" s="99" t="s">
        <v>435</v>
      </c>
      <c r="E26" s="99" t="s">
        <v>436</v>
      </c>
      <c r="F26" s="99" t="s">
        <v>436</v>
      </c>
      <c r="G26" s="99" t="s">
        <v>479</v>
      </c>
      <c r="H26" s="99" t="s">
        <v>437</v>
      </c>
      <c r="I26" s="99" t="s">
        <v>444</v>
      </c>
      <c r="J26" s="99" t="s">
        <v>482</v>
      </c>
      <c r="K26" s="99" t="s">
        <v>438</v>
      </c>
      <c r="L26" s="99" t="s">
        <v>438</v>
      </c>
      <c r="M26" s="99" t="s">
        <v>438</v>
      </c>
      <c r="N26" s="99" t="s">
        <v>438</v>
      </c>
      <c r="O26" s="99" t="s">
        <v>438</v>
      </c>
      <c r="P26" s="99" t="s">
        <v>438</v>
      </c>
      <c r="Q26" s="99" t="s">
        <v>438</v>
      </c>
      <c r="R26" s="99" t="s">
        <v>438</v>
      </c>
      <c r="S26" s="99" t="s">
        <v>596</v>
      </c>
      <c r="T26" s="99" t="s">
        <v>439</v>
      </c>
      <c r="U26" s="99" t="s">
        <v>438</v>
      </c>
      <c r="V26" s="99" t="s">
        <v>612</v>
      </c>
    </row>
    <row r="27" spans="1:22">
      <c r="A27" s="99" t="s">
        <v>434</v>
      </c>
      <c r="B27" s="99" t="s">
        <v>264</v>
      </c>
      <c r="C27" s="99" t="s">
        <v>525</v>
      </c>
      <c r="D27" s="99" t="s">
        <v>526</v>
      </c>
      <c r="E27" s="99" t="s">
        <v>436</v>
      </c>
      <c r="F27" s="99" t="s">
        <v>436</v>
      </c>
      <c r="G27" s="99" t="s">
        <v>443</v>
      </c>
      <c r="H27" s="99" t="s">
        <v>437</v>
      </c>
      <c r="I27" s="99" t="s">
        <v>444</v>
      </c>
      <c r="J27" s="99" t="s">
        <v>527</v>
      </c>
      <c r="K27" s="99" t="s">
        <v>438</v>
      </c>
      <c r="L27" s="99" t="s">
        <v>438</v>
      </c>
      <c r="M27" s="99" t="s">
        <v>438</v>
      </c>
      <c r="N27" s="99" t="s">
        <v>438</v>
      </c>
      <c r="O27" s="99" t="s">
        <v>438</v>
      </c>
      <c r="P27" s="99" t="s">
        <v>438</v>
      </c>
      <c r="Q27" s="99" t="s">
        <v>438</v>
      </c>
      <c r="R27" s="99" t="s">
        <v>438</v>
      </c>
      <c r="S27" s="99" t="s">
        <v>614</v>
      </c>
      <c r="T27" s="99" t="s">
        <v>439</v>
      </c>
      <c r="U27" s="99" t="s">
        <v>438</v>
      </c>
      <c r="V27" s="99" t="s">
        <v>612</v>
      </c>
    </row>
    <row r="28" spans="1:22">
      <c r="A28" s="99" t="s">
        <v>434</v>
      </c>
      <c r="B28" s="99" t="s">
        <v>266</v>
      </c>
      <c r="C28" s="99" t="s">
        <v>446</v>
      </c>
      <c r="D28" s="99" t="s">
        <v>266</v>
      </c>
      <c r="E28" s="99" t="s">
        <v>436</v>
      </c>
      <c r="F28" s="99" t="s">
        <v>436</v>
      </c>
      <c r="G28" s="99" t="s">
        <v>483</v>
      </c>
      <c r="H28" s="99" t="s">
        <v>437</v>
      </c>
      <c r="I28" s="99" t="s">
        <v>441</v>
      </c>
      <c r="J28" s="99" t="s">
        <v>484</v>
      </c>
      <c r="K28" s="99" t="s">
        <v>438</v>
      </c>
      <c r="L28" s="99" t="s">
        <v>438</v>
      </c>
      <c r="M28" s="99" t="s">
        <v>438</v>
      </c>
      <c r="N28" s="99" t="s">
        <v>438</v>
      </c>
      <c r="O28" s="99" t="s">
        <v>438</v>
      </c>
      <c r="P28" s="99" t="s">
        <v>438</v>
      </c>
      <c r="Q28" s="99" t="s">
        <v>597</v>
      </c>
      <c r="R28" s="99" t="s">
        <v>438</v>
      </c>
      <c r="S28" s="99" t="s">
        <v>620</v>
      </c>
      <c r="T28" s="99" t="s">
        <v>439</v>
      </c>
      <c r="U28" s="99" t="s">
        <v>438</v>
      </c>
      <c r="V28" s="99" t="s">
        <v>612</v>
      </c>
    </row>
    <row r="29" spans="1:22">
      <c r="A29" s="99" t="s">
        <v>434</v>
      </c>
      <c r="B29" s="99" t="s">
        <v>267</v>
      </c>
      <c r="C29" s="99" t="s">
        <v>485</v>
      </c>
      <c r="D29" s="99" t="s">
        <v>435</v>
      </c>
      <c r="E29" s="99" t="s">
        <v>436</v>
      </c>
      <c r="F29" s="99" t="s">
        <v>436</v>
      </c>
      <c r="G29" s="99" t="s">
        <v>440</v>
      </c>
      <c r="H29" s="99" t="s">
        <v>437</v>
      </c>
      <c r="I29" s="99" t="s">
        <v>441</v>
      </c>
      <c r="J29" s="99" t="s">
        <v>486</v>
      </c>
      <c r="K29" s="99" t="s">
        <v>438</v>
      </c>
      <c r="L29" s="99" t="s">
        <v>438</v>
      </c>
      <c r="M29" s="99" t="s">
        <v>438</v>
      </c>
      <c r="N29" s="99" t="s">
        <v>438</v>
      </c>
      <c r="O29" s="99" t="s">
        <v>438</v>
      </c>
      <c r="P29" s="99" t="s">
        <v>438</v>
      </c>
      <c r="Q29" s="99" t="s">
        <v>438</v>
      </c>
      <c r="R29" s="99" t="s">
        <v>438</v>
      </c>
      <c r="S29" s="99" t="s">
        <v>594</v>
      </c>
      <c r="T29" s="99" t="s">
        <v>439</v>
      </c>
      <c r="U29" s="99" t="s">
        <v>438</v>
      </c>
      <c r="V29" s="99" t="s">
        <v>612</v>
      </c>
    </row>
    <row r="30" spans="1:22">
      <c r="A30" s="99" t="s">
        <v>434</v>
      </c>
      <c r="B30" s="99" t="s">
        <v>268</v>
      </c>
      <c r="C30" s="99" t="s">
        <v>485</v>
      </c>
      <c r="D30" s="99" t="s">
        <v>528</v>
      </c>
      <c r="E30" s="99" t="s">
        <v>436</v>
      </c>
      <c r="F30" s="99" t="s">
        <v>436</v>
      </c>
      <c r="G30" s="99" t="s">
        <v>443</v>
      </c>
      <c r="H30" s="99" t="s">
        <v>437</v>
      </c>
      <c r="I30" s="99" t="s">
        <v>444</v>
      </c>
      <c r="J30" s="99" t="s">
        <v>529</v>
      </c>
      <c r="K30" s="99" t="s">
        <v>438</v>
      </c>
      <c r="L30" s="99" t="s">
        <v>438</v>
      </c>
      <c r="M30" s="99" t="s">
        <v>438</v>
      </c>
      <c r="N30" s="99" t="s">
        <v>438</v>
      </c>
      <c r="O30" s="99" t="s">
        <v>438</v>
      </c>
      <c r="P30" s="99" t="s">
        <v>438</v>
      </c>
      <c r="Q30" s="99" t="s">
        <v>597</v>
      </c>
      <c r="R30" s="99" t="s">
        <v>438</v>
      </c>
      <c r="S30" s="99" t="s">
        <v>618</v>
      </c>
      <c r="T30" s="99" t="s">
        <v>439</v>
      </c>
      <c r="U30" s="99" t="s">
        <v>438</v>
      </c>
      <c r="V30" s="99" t="s">
        <v>612</v>
      </c>
    </row>
    <row r="31" spans="1:22">
      <c r="A31" s="99" t="s">
        <v>434</v>
      </c>
      <c r="B31" s="99" t="s">
        <v>269</v>
      </c>
      <c r="C31" s="99" t="s">
        <v>485</v>
      </c>
      <c r="D31" s="99" t="s">
        <v>530</v>
      </c>
      <c r="E31" s="99" t="s">
        <v>436</v>
      </c>
      <c r="F31" s="99" t="s">
        <v>436</v>
      </c>
      <c r="G31" s="99" t="s">
        <v>479</v>
      </c>
      <c r="H31" s="99" t="s">
        <v>437</v>
      </c>
      <c r="I31" s="99" t="s">
        <v>441</v>
      </c>
      <c r="J31" s="99" t="s">
        <v>531</v>
      </c>
      <c r="K31" s="99" t="s">
        <v>438</v>
      </c>
      <c r="L31" s="99" t="s">
        <v>438</v>
      </c>
      <c r="M31" s="99" t="s">
        <v>438</v>
      </c>
      <c r="N31" s="99" t="s">
        <v>438</v>
      </c>
      <c r="O31" s="99" t="s">
        <v>438</v>
      </c>
      <c r="P31" s="99" t="s">
        <v>438</v>
      </c>
      <c r="Q31" s="99" t="s">
        <v>438</v>
      </c>
      <c r="R31" s="99" t="s">
        <v>438</v>
      </c>
      <c r="S31" s="99" t="s">
        <v>601</v>
      </c>
      <c r="T31" s="99" t="s">
        <v>439</v>
      </c>
      <c r="U31" s="99" t="s">
        <v>438</v>
      </c>
      <c r="V31" s="99" t="s">
        <v>612</v>
      </c>
    </row>
    <row r="32" spans="1:22">
      <c r="A32" s="99" t="s">
        <v>434</v>
      </c>
      <c r="B32" s="99" t="s">
        <v>271</v>
      </c>
      <c r="C32" s="99" t="s">
        <v>532</v>
      </c>
      <c r="D32" s="99" t="s">
        <v>271</v>
      </c>
      <c r="E32" s="99" t="s">
        <v>436</v>
      </c>
      <c r="F32" s="99" t="s">
        <v>436</v>
      </c>
      <c r="G32" s="99" t="s">
        <v>533</v>
      </c>
      <c r="H32" s="99" t="s">
        <v>507</v>
      </c>
      <c r="I32" s="99" t="s">
        <v>441</v>
      </c>
      <c r="J32" s="99" t="s">
        <v>534</v>
      </c>
      <c r="K32" s="99" t="s">
        <v>438</v>
      </c>
      <c r="L32" s="99" t="s">
        <v>438</v>
      </c>
      <c r="M32" s="99" t="s">
        <v>438</v>
      </c>
      <c r="N32" s="99" t="s">
        <v>438</v>
      </c>
      <c r="O32" s="99" t="s">
        <v>438</v>
      </c>
      <c r="P32" s="99" t="s">
        <v>438</v>
      </c>
      <c r="Q32" s="99" t="s">
        <v>438</v>
      </c>
      <c r="R32" s="99" t="s">
        <v>438</v>
      </c>
      <c r="S32" s="99" t="s">
        <v>609</v>
      </c>
      <c r="T32" s="99" t="s">
        <v>439</v>
      </c>
      <c r="U32" s="99" t="s">
        <v>438</v>
      </c>
      <c r="V32" s="99" t="s">
        <v>621</v>
      </c>
    </row>
    <row r="33" spans="1:22">
      <c r="A33" s="99" t="s">
        <v>434</v>
      </c>
      <c r="B33" s="99" t="s">
        <v>535</v>
      </c>
      <c r="C33" s="99" t="s">
        <v>536</v>
      </c>
      <c r="D33" s="99" t="s">
        <v>535</v>
      </c>
      <c r="E33" s="99" t="s">
        <v>436</v>
      </c>
      <c r="F33" s="99" t="s">
        <v>436</v>
      </c>
      <c r="G33" s="99" t="s">
        <v>495</v>
      </c>
      <c r="H33" s="99" t="s">
        <v>507</v>
      </c>
      <c r="I33" s="99" t="s">
        <v>441</v>
      </c>
      <c r="J33" s="99" t="s">
        <v>537</v>
      </c>
      <c r="K33" s="99" t="s">
        <v>438</v>
      </c>
      <c r="L33" s="99" t="s">
        <v>438</v>
      </c>
      <c r="M33" s="99" t="s">
        <v>438</v>
      </c>
      <c r="N33" s="99" t="s">
        <v>438</v>
      </c>
      <c r="O33" s="99" t="s">
        <v>438</v>
      </c>
      <c r="P33" s="99" t="s">
        <v>438</v>
      </c>
      <c r="Q33" s="99" t="s">
        <v>438</v>
      </c>
      <c r="R33" s="99" t="s">
        <v>438</v>
      </c>
      <c r="S33" s="99" t="s">
        <v>599</v>
      </c>
      <c r="T33" s="99" t="s">
        <v>439</v>
      </c>
      <c r="U33" s="99" t="s">
        <v>438</v>
      </c>
      <c r="V33" s="99" t="s">
        <v>621</v>
      </c>
    </row>
    <row r="34" spans="1:22">
      <c r="A34" s="99" t="s">
        <v>434</v>
      </c>
      <c r="B34" s="99" t="s">
        <v>272</v>
      </c>
      <c r="C34" s="99" t="s">
        <v>538</v>
      </c>
      <c r="D34" s="99" t="s">
        <v>272</v>
      </c>
      <c r="E34" s="99" t="s">
        <v>436</v>
      </c>
      <c r="F34" s="99" t="s">
        <v>436</v>
      </c>
      <c r="G34" s="99" t="s">
        <v>539</v>
      </c>
      <c r="H34" s="99" t="s">
        <v>507</v>
      </c>
      <c r="I34" s="99" t="s">
        <v>444</v>
      </c>
      <c r="J34" s="99" t="s">
        <v>540</v>
      </c>
      <c r="K34" s="99" t="s">
        <v>438</v>
      </c>
      <c r="L34" s="99" t="s">
        <v>438</v>
      </c>
      <c r="M34" s="99" t="s">
        <v>438</v>
      </c>
      <c r="N34" s="99" t="s">
        <v>438</v>
      </c>
      <c r="O34" s="99" t="s">
        <v>438</v>
      </c>
      <c r="P34" s="99" t="s">
        <v>438</v>
      </c>
      <c r="Q34" s="99" t="s">
        <v>438</v>
      </c>
      <c r="R34" s="99" t="s">
        <v>438</v>
      </c>
      <c r="S34" s="99" t="s">
        <v>622</v>
      </c>
      <c r="T34" s="99" t="s">
        <v>439</v>
      </c>
      <c r="U34" s="99" t="s">
        <v>438</v>
      </c>
      <c r="V34" s="99" t="s">
        <v>621</v>
      </c>
    </row>
    <row r="35" spans="1:22">
      <c r="A35" s="99" t="s">
        <v>434</v>
      </c>
      <c r="B35" s="99" t="s">
        <v>173</v>
      </c>
      <c r="C35" s="99" t="s">
        <v>541</v>
      </c>
      <c r="D35" s="99" t="s">
        <v>173</v>
      </c>
      <c r="E35" s="99" t="s">
        <v>436</v>
      </c>
      <c r="F35" s="99" t="s">
        <v>436</v>
      </c>
      <c r="G35" s="99" t="s">
        <v>483</v>
      </c>
      <c r="H35" s="99" t="s">
        <v>437</v>
      </c>
      <c r="I35" s="99" t="s">
        <v>544</v>
      </c>
      <c r="J35" s="99" t="s">
        <v>545</v>
      </c>
      <c r="K35" s="99" t="s">
        <v>438</v>
      </c>
      <c r="L35" s="99" t="s">
        <v>438</v>
      </c>
      <c r="M35" s="99" t="s">
        <v>438</v>
      </c>
      <c r="N35" s="99" t="s">
        <v>438</v>
      </c>
      <c r="O35" s="99" t="s">
        <v>438</v>
      </c>
      <c r="P35" s="99" t="s">
        <v>438</v>
      </c>
      <c r="Q35" s="99" t="s">
        <v>438</v>
      </c>
      <c r="R35" s="99" t="s">
        <v>438</v>
      </c>
      <c r="S35" s="99" t="s">
        <v>613</v>
      </c>
      <c r="T35" s="99" t="s">
        <v>439</v>
      </c>
      <c r="U35" s="99" t="s">
        <v>438</v>
      </c>
      <c r="V35" s="99" t="s">
        <v>621</v>
      </c>
    </row>
    <row r="36" spans="1:22">
      <c r="A36" s="99" t="s">
        <v>434</v>
      </c>
      <c r="B36" s="99" t="s">
        <v>174</v>
      </c>
      <c r="C36" s="99" t="s">
        <v>541</v>
      </c>
      <c r="D36" s="99" t="s">
        <v>174</v>
      </c>
      <c r="E36" s="99" t="s">
        <v>436</v>
      </c>
      <c r="F36" s="99" t="s">
        <v>436</v>
      </c>
      <c r="G36" s="99" t="s">
        <v>546</v>
      </c>
      <c r="H36" s="99" t="s">
        <v>437</v>
      </c>
      <c r="I36" s="99" t="s">
        <v>544</v>
      </c>
      <c r="J36" s="99" t="s">
        <v>490</v>
      </c>
      <c r="K36" s="99" t="s">
        <v>438</v>
      </c>
      <c r="L36" s="99" t="s">
        <v>438</v>
      </c>
      <c r="M36" s="99" t="s">
        <v>438</v>
      </c>
      <c r="N36" s="99" t="s">
        <v>438</v>
      </c>
      <c r="O36" s="99" t="s">
        <v>438</v>
      </c>
      <c r="P36" s="99" t="s">
        <v>438</v>
      </c>
      <c r="Q36" s="99" t="s">
        <v>597</v>
      </c>
      <c r="R36" s="99" t="s">
        <v>438</v>
      </c>
      <c r="S36" s="99" t="s">
        <v>596</v>
      </c>
      <c r="T36" s="99" t="s">
        <v>439</v>
      </c>
      <c r="U36" s="99" t="s">
        <v>438</v>
      </c>
      <c r="V36" s="99" t="s">
        <v>621</v>
      </c>
    </row>
    <row r="37" spans="1:22">
      <c r="A37" s="99" t="s">
        <v>434</v>
      </c>
      <c r="B37" s="99" t="s">
        <v>172</v>
      </c>
      <c r="C37" s="99" t="s">
        <v>541</v>
      </c>
      <c r="D37" s="99" t="s">
        <v>172</v>
      </c>
      <c r="E37" s="99" t="s">
        <v>436</v>
      </c>
      <c r="F37" s="99" t="s">
        <v>436</v>
      </c>
      <c r="G37" s="99" t="s">
        <v>542</v>
      </c>
      <c r="H37" s="99" t="s">
        <v>437</v>
      </c>
      <c r="I37" s="99" t="s">
        <v>441</v>
      </c>
      <c r="J37" s="99" t="s">
        <v>543</v>
      </c>
      <c r="K37" s="99" t="s">
        <v>438</v>
      </c>
      <c r="L37" s="99" t="s">
        <v>438</v>
      </c>
      <c r="M37" s="99" t="s">
        <v>438</v>
      </c>
      <c r="N37" s="99" t="s">
        <v>438</v>
      </c>
      <c r="O37" s="99" t="s">
        <v>438</v>
      </c>
      <c r="P37" s="99" t="s">
        <v>438</v>
      </c>
      <c r="Q37" s="99" t="s">
        <v>438</v>
      </c>
      <c r="R37" s="99" t="s">
        <v>438</v>
      </c>
      <c r="S37" s="99" t="s">
        <v>593</v>
      </c>
      <c r="T37" s="99" t="s">
        <v>439</v>
      </c>
      <c r="U37" s="99" t="s">
        <v>438</v>
      </c>
      <c r="V37" s="99" t="s">
        <v>621</v>
      </c>
    </row>
    <row r="38" spans="1:22">
      <c r="A38" s="99" t="s">
        <v>434</v>
      </c>
      <c r="B38" s="99" t="s">
        <v>360</v>
      </c>
      <c r="C38" s="99" t="s">
        <v>598</v>
      </c>
      <c r="D38" s="99" t="s">
        <v>360</v>
      </c>
      <c r="E38" s="99" t="s">
        <v>436</v>
      </c>
      <c r="F38" s="99" t="s">
        <v>436</v>
      </c>
      <c r="G38" s="99" t="s">
        <v>489</v>
      </c>
      <c r="H38" s="99" t="s">
        <v>437</v>
      </c>
      <c r="I38" s="99" t="s">
        <v>442</v>
      </c>
      <c r="J38" s="99" t="s">
        <v>547</v>
      </c>
      <c r="K38" s="99" t="s">
        <v>438</v>
      </c>
      <c r="L38" s="99" t="s">
        <v>438</v>
      </c>
      <c r="M38" s="99" t="s">
        <v>438</v>
      </c>
      <c r="N38" s="99" t="s">
        <v>438</v>
      </c>
      <c r="O38" s="99" t="s">
        <v>438</v>
      </c>
      <c r="P38" s="99" t="s">
        <v>438</v>
      </c>
      <c r="Q38" s="99" t="s">
        <v>438</v>
      </c>
      <c r="R38" s="99" t="s">
        <v>438</v>
      </c>
      <c r="S38" s="99" t="s">
        <v>613</v>
      </c>
      <c r="T38" s="99" t="s">
        <v>439</v>
      </c>
      <c r="U38" s="99" t="s">
        <v>438</v>
      </c>
      <c r="V38" s="99" t="s">
        <v>621</v>
      </c>
    </row>
    <row r="39" spans="1:22">
      <c r="A39" s="99" t="s">
        <v>434</v>
      </c>
      <c r="B39" s="99" t="s">
        <v>361</v>
      </c>
      <c r="C39" s="99" t="s">
        <v>548</v>
      </c>
      <c r="D39" s="99" t="s">
        <v>361</v>
      </c>
      <c r="E39" s="99" t="s">
        <v>436</v>
      </c>
      <c r="F39" s="99" t="s">
        <v>436</v>
      </c>
      <c r="G39" s="99" t="s">
        <v>551</v>
      </c>
      <c r="H39" s="99" t="s">
        <v>437</v>
      </c>
      <c r="I39" s="99" t="s">
        <v>552</v>
      </c>
      <c r="J39" s="99" t="s">
        <v>553</v>
      </c>
      <c r="K39" s="99" t="s">
        <v>438</v>
      </c>
      <c r="L39" s="99" t="s">
        <v>438</v>
      </c>
      <c r="M39" s="99" t="s">
        <v>438</v>
      </c>
      <c r="N39" s="99" t="s">
        <v>438</v>
      </c>
      <c r="O39" s="99" t="s">
        <v>438</v>
      </c>
      <c r="P39" s="99" t="s">
        <v>438</v>
      </c>
      <c r="Q39" s="99" t="s">
        <v>438</v>
      </c>
      <c r="R39" s="99" t="s">
        <v>438</v>
      </c>
      <c r="S39" s="99" t="s">
        <v>590</v>
      </c>
      <c r="T39" s="99" t="s">
        <v>439</v>
      </c>
      <c r="U39" s="99" t="s">
        <v>438</v>
      </c>
      <c r="V39" s="99" t="s">
        <v>621</v>
      </c>
    </row>
    <row r="40" spans="1:22">
      <c r="A40" s="99" t="s">
        <v>434</v>
      </c>
      <c r="B40" s="99" t="s">
        <v>362</v>
      </c>
      <c r="C40" s="99" t="s">
        <v>548</v>
      </c>
      <c r="D40" s="99" t="s">
        <v>362</v>
      </c>
      <c r="E40" s="99" t="s">
        <v>436</v>
      </c>
      <c r="F40" s="99" t="s">
        <v>436</v>
      </c>
      <c r="G40" s="99" t="s">
        <v>549</v>
      </c>
      <c r="H40" s="99" t="s">
        <v>437</v>
      </c>
      <c r="I40" s="99" t="s">
        <v>442</v>
      </c>
      <c r="J40" s="99" t="s">
        <v>550</v>
      </c>
      <c r="K40" s="99" t="s">
        <v>438</v>
      </c>
      <c r="L40" s="99" t="s">
        <v>438</v>
      </c>
      <c r="M40" s="99" t="s">
        <v>438</v>
      </c>
      <c r="N40" s="99" t="s">
        <v>438</v>
      </c>
      <c r="O40" s="99" t="s">
        <v>438</v>
      </c>
      <c r="P40" s="99" t="s">
        <v>438</v>
      </c>
      <c r="Q40" s="99" t="s">
        <v>597</v>
      </c>
      <c r="R40" s="99" t="s">
        <v>438</v>
      </c>
      <c r="S40" s="99" t="s">
        <v>614</v>
      </c>
      <c r="T40" s="99" t="s">
        <v>439</v>
      </c>
      <c r="U40" s="99" t="s">
        <v>438</v>
      </c>
      <c r="V40" s="99" t="s">
        <v>621</v>
      </c>
    </row>
    <row r="41" spans="1:22">
      <c r="A41" s="99" t="s">
        <v>434</v>
      </c>
      <c r="B41" s="99" t="s">
        <v>363</v>
      </c>
      <c r="C41" s="99" t="s">
        <v>554</v>
      </c>
      <c r="D41" s="99" t="s">
        <v>363</v>
      </c>
      <c r="E41" s="99" t="s">
        <v>436</v>
      </c>
      <c r="F41" s="99" t="s">
        <v>436</v>
      </c>
      <c r="G41" s="99" t="s">
        <v>489</v>
      </c>
      <c r="H41" s="99" t="s">
        <v>437</v>
      </c>
      <c r="I41" s="99" t="s">
        <v>442</v>
      </c>
      <c r="J41" s="99" t="s">
        <v>547</v>
      </c>
      <c r="K41" s="99" t="s">
        <v>438</v>
      </c>
      <c r="L41" s="99" t="s">
        <v>438</v>
      </c>
      <c r="M41" s="99" t="s">
        <v>438</v>
      </c>
      <c r="N41" s="99" t="s">
        <v>438</v>
      </c>
      <c r="O41" s="99" t="s">
        <v>438</v>
      </c>
      <c r="P41" s="99" t="s">
        <v>438</v>
      </c>
      <c r="Q41" s="99" t="s">
        <v>597</v>
      </c>
      <c r="R41" s="99" t="s">
        <v>438</v>
      </c>
      <c r="S41" s="99" t="s">
        <v>601</v>
      </c>
      <c r="T41" s="99" t="s">
        <v>439</v>
      </c>
      <c r="U41" s="99" t="s">
        <v>438</v>
      </c>
      <c r="V41" s="99" t="s">
        <v>621</v>
      </c>
    </row>
    <row r="42" spans="1:22">
      <c r="A42" s="99" t="s">
        <v>434</v>
      </c>
      <c r="B42" s="99" t="s">
        <v>223</v>
      </c>
      <c r="C42" s="99" t="s">
        <v>555</v>
      </c>
      <c r="D42" s="99" t="s">
        <v>223</v>
      </c>
      <c r="E42" s="99" t="s">
        <v>436</v>
      </c>
      <c r="F42" s="99" t="s">
        <v>436</v>
      </c>
      <c r="G42" s="99" t="s">
        <v>440</v>
      </c>
      <c r="H42" s="99" t="s">
        <v>437</v>
      </c>
      <c r="I42" s="99" t="s">
        <v>441</v>
      </c>
      <c r="J42" s="99" t="s">
        <v>513</v>
      </c>
      <c r="K42" s="99" t="s">
        <v>438</v>
      </c>
      <c r="L42" s="99" t="s">
        <v>438</v>
      </c>
      <c r="M42" s="99" t="s">
        <v>438</v>
      </c>
      <c r="N42" s="99" t="s">
        <v>438</v>
      </c>
      <c r="O42" s="99" t="s">
        <v>438</v>
      </c>
      <c r="P42" s="99" t="s">
        <v>438</v>
      </c>
      <c r="Q42" s="99" t="s">
        <v>597</v>
      </c>
      <c r="R42" s="99" t="s">
        <v>438</v>
      </c>
      <c r="S42" s="99" t="s">
        <v>615</v>
      </c>
      <c r="T42" s="99" t="s">
        <v>439</v>
      </c>
      <c r="U42" s="99" t="s">
        <v>438</v>
      </c>
      <c r="V42" s="99" t="s">
        <v>621</v>
      </c>
    </row>
    <row r="43" spans="1:22">
      <c r="A43" s="99" t="s">
        <v>434</v>
      </c>
      <c r="B43" s="99" t="s">
        <v>224</v>
      </c>
      <c r="C43" s="99" t="s">
        <v>556</v>
      </c>
      <c r="D43" s="99" t="s">
        <v>224</v>
      </c>
      <c r="E43" s="99" t="s">
        <v>436</v>
      </c>
      <c r="F43" s="99" t="s">
        <v>436</v>
      </c>
      <c r="G43" s="99" t="s">
        <v>440</v>
      </c>
      <c r="H43" s="99" t="s">
        <v>437</v>
      </c>
      <c r="I43" s="99" t="s">
        <v>441</v>
      </c>
      <c r="J43" s="99" t="s">
        <v>557</v>
      </c>
      <c r="K43" s="99" t="s">
        <v>438</v>
      </c>
      <c r="L43" s="99" t="s">
        <v>438</v>
      </c>
      <c r="M43" s="99" t="s">
        <v>438</v>
      </c>
      <c r="N43" s="99" t="s">
        <v>438</v>
      </c>
      <c r="O43" s="99" t="s">
        <v>438</v>
      </c>
      <c r="P43" s="99" t="s">
        <v>438</v>
      </c>
      <c r="Q43" s="99" t="s">
        <v>438</v>
      </c>
      <c r="R43" s="99" t="s">
        <v>438</v>
      </c>
      <c r="S43" s="99" t="s">
        <v>603</v>
      </c>
      <c r="T43" s="99" t="s">
        <v>439</v>
      </c>
      <c r="U43" s="99" t="s">
        <v>438</v>
      </c>
      <c r="V43" s="99" t="s">
        <v>621</v>
      </c>
    </row>
    <row r="44" spans="1:22">
      <c r="A44" s="99" t="s">
        <v>434</v>
      </c>
      <c r="B44" s="99" t="s">
        <v>225</v>
      </c>
      <c r="C44" s="99" t="s">
        <v>558</v>
      </c>
      <c r="D44" s="99" t="s">
        <v>225</v>
      </c>
      <c r="E44" s="99" t="s">
        <v>436</v>
      </c>
      <c r="F44" s="99" t="s">
        <v>436</v>
      </c>
      <c r="G44" s="99" t="s">
        <v>440</v>
      </c>
      <c r="H44" s="99" t="s">
        <v>437</v>
      </c>
      <c r="I44" s="99" t="s">
        <v>441</v>
      </c>
      <c r="J44" s="99" t="s">
        <v>559</v>
      </c>
      <c r="K44" s="99" t="s">
        <v>438</v>
      </c>
      <c r="L44" s="99" t="s">
        <v>438</v>
      </c>
      <c r="M44" s="99" t="s">
        <v>438</v>
      </c>
      <c r="N44" s="99" t="s">
        <v>438</v>
      </c>
      <c r="O44" s="99" t="s">
        <v>438</v>
      </c>
      <c r="P44" s="99" t="s">
        <v>438</v>
      </c>
      <c r="Q44" s="99" t="s">
        <v>438</v>
      </c>
      <c r="R44" s="99" t="s">
        <v>438</v>
      </c>
      <c r="S44" s="99" t="s">
        <v>596</v>
      </c>
      <c r="T44" s="99" t="s">
        <v>439</v>
      </c>
      <c r="U44" s="99" t="s">
        <v>438</v>
      </c>
      <c r="V44" s="99" t="s">
        <v>621</v>
      </c>
    </row>
    <row r="45" spans="1:22">
      <c r="A45" s="99" t="s">
        <v>434</v>
      </c>
      <c r="B45" s="99" t="s">
        <v>287</v>
      </c>
      <c r="C45" s="99" t="s">
        <v>604</v>
      </c>
      <c r="D45" s="99" t="s">
        <v>287</v>
      </c>
      <c r="E45" s="99" t="s">
        <v>436</v>
      </c>
      <c r="F45" s="99" t="s">
        <v>436</v>
      </c>
      <c r="G45" s="99" t="s">
        <v>440</v>
      </c>
      <c r="H45" s="99" t="s">
        <v>437</v>
      </c>
      <c r="I45" s="99" t="s">
        <v>441</v>
      </c>
      <c r="J45" s="99" t="s">
        <v>560</v>
      </c>
      <c r="K45" s="99" t="s">
        <v>438</v>
      </c>
      <c r="L45" s="99" t="s">
        <v>438</v>
      </c>
      <c r="M45" s="99" t="s">
        <v>438</v>
      </c>
      <c r="N45" s="99" t="s">
        <v>438</v>
      </c>
      <c r="O45" s="99" t="s">
        <v>438</v>
      </c>
      <c r="P45" s="99" t="s">
        <v>438</v>
      </c>
      <c r="Q45" s="99" t="s">
        <v>438</v>
      </c>
      <c r="R45" s="99" t="s">
        <v>438</v>
      </c>
      <c r="S45" s="99" t="s">
        <v>605</v>
      </c>
      <c r="T45" s="99" t="s">
        <v>439</v>
      </c>
      <c r="U45" s="99" t="s">
        <v>438</v>
      </c>
      <c r="V45" s="99" t="s">
        <v>621</v>
      </c>
    </row>
    <row r="46" spans="1:22">
      <c r="A46" s="99" t="s">
        <v>434</v>
      </c>
      <c r="B46" s="99" t="s">
        <v>226</v>
      </c>
      <c r="C46" s="99" t="s">
        <v>561</v>
      </c>
      <c r="D46" s="99" t="s">
        <v>226</v>
      </c>
      <c r="E46" s="99" t="s">
        <v>436</v>
      </c>
      <c r="F46" s="99" t="s">
        <v>436</v>
      </c>
      <c r="G46" s="99" t="s">
        <v>445</v>
      </c>
      <c r="H46" s="99" t="s">
        <v>437</v>
      </c>
      <c r="I46" s="99" t="s">
        <v>441</v>
      </c>
      <c r="J46" s="99" t="s">
        <v>462</v>
      </c>
      <c r="K46" s="99" t="s">
        <v>438</v>
      </c>
      <c r="L46" s="99" t="s">
        <v>438</v>
      </c>
      <c r="M46" s="99" t="s">
        <v>438</v>
      </c>
      <c r="N46" s="99" t="s">
        <v>438</v>
      </c>
      <c r="O46" s="99" t="s">
        <v>438</v>
      </c>
      <c r="P46" s="99" t="s">
        <v>438</v>
      </c>
      <c r="Q46" s="99" t="s">
        <v>438</v>
      </c>
      <c r="R46" s="99" t="s">
        <v>438</v>
      </c>
      <c r="S46" s="99" t="s">
        <v>614</v>
      </c>
      <c r="T46" s="99" t="s">
        <v>439</v>
      </c>
      <c r="U46" s="99" t="s">
        <v>438</v>
      </c>
      <c r="V46" s="99" t="s">
        <v>621</v>
      </c>
    </row>
    <row r="47" spans="1:22">
      <c r="A47" s="99" t="s">
        <v>434</v>
      </c>
      <c r="B47" s="99" t="s">
        <v>277</v>
      </c>
      <c r="C47" s="99" t="s">
        <v>562</v>
      </c>
      <c r="D47" s="99" t="s">
        <v>277</v>
      </c>
      <c r="E47" s="99" t="s">
        <v>436</v>
      </c>
      <c r="F47" s="99" t="s">
        <v>436</v>
      </c>
      <c r="G47" s="99" t="s">
        <v>445</v>
      </c>
      <c r="H47" s="99" t="s">
        <v>437</v>
      </c>
      <c r="I47" s="99" t="s">
        <v>563</v>
      </c>
      <c r="J47" s="99" t="s">
        <v>564</v>
      </c>
      <c r="K47" s="99" t="s">
        <v>438</v>
      </c>
      <c r="L47" s="99" t="s">
        <v>438</v>
      </c>
      <c r="M47" s="99" t="s">
        <v>438</v>
      </c>
      <c r="N47" s="99" t="s">
        <v>438</v>
      </c>
      <c r="O47" s="99" t="s">
        <v>438</v>
      </c>
      <c r="P47" s="99" t="s">
        <v>438</v>
      </c>
      <c r="Q47" s="99" t="s">
        <v>438</v>
      </c>
      <c r="R47" s="99" t="s">
        <v>438</v>
      </c>
      <c r="S47" s="99" t="s">
        <v>623</v>
      </c>
      <c r="T47" s="99" t="s">
        <v>439</v>
      </c>
      <c r="U47" s="99" t="s">
        <v>438</v>
      </c>
      <c r="V47" s="99" t="s">
        <v>621</v>
      </c>
    </row>
    <row r="48" spans="1:22">
      <c r="A48" s="99" t="s">
        <v>434</v>
      </c>
      <c r="B48" s="99" t="s">
        <v>278</v>
      </c>
      <c r="C48" s="99" t="s">
        <v>565</v>
      </c>
      <c r="D48" s="99" t="s">
        <v>278</v>
      </c>
      <c r="E48" s="99" t="s">
        <v>436</v>
      </c>
      <c r="F48" s="99" t="s">
        <v>436</v>
      </c>
      <c r="G48" s="99" t="s">
        <v>440</v>
      </c>
      <c r="H48" s="99" t="s">
        <v>437</v>
      </c>
      <c r="I48" s="99" t="s">
        <v>441</v>
      </c>
      <c r="J48" s="99" t="s">
        <v>559</v>
      </c>
      <c r="K48" s="99" t="s">
        <v>438</v>
      </c>
      <c r="L48" s="99" t="s">
        <v>438</v>
      </c>
      <c r="M48" s="99" t="s">
        <v>438</v>
      </c>
      <c r="N48" s="99" t="s">
        <v>438</v>
      </c>
      <c r="O48" s="99" t="s">
        <v>438</v>
      </c>
      <c r="P48" s="99" t="s">
        <v>438</v>
      </c>
      <c r="Q48" s="99" t="s">
        <v>438</v>
      </c>
      <c r="R48" s="99" t="s">
        <v>438</v>
      </c>
      <c r="S48" s="99" t="s">
        <v>591</v>
      </c>
      <c r="T48" s="99" t="s">
        <v>439</v>
      </c>
      <c r="U48" s="99" t="s">
        <v>438</v>
      </c>
      <c r="V48" s="99" t="s">
        <v>621</v>
      </c>
    </row>
    <row r="49" spans="1:22">
      <c r="A49" s="99" t="s">
        <v>434</v>
      </c>
      <c r="B49" s="99" t="s">
        <v>279</v>
      </c>
      <c r="C49" s="99" t="s">
        <v>566</v>
      </c>
      <c r="D49" s="99" t="s">
        <v>279</v>
      </c>
      <c r="E49" s="99" t="s">
        <v>436</v>
      </c>
      <c r="F49" s="99" t="s">
        <v>436</v>
      </c>
      <c r="G49" s="99" t="s">
        <v>445</v>
      </c>
      <c r="H49" s="99" t="s">
        <v>437</v>
      </c>
      <c r="I49" s="99" t="s">
        <v>563</v>
      </c>
      <c r="J49" s="99" t="s">
        <v>567</v>
      </c>
      <c r="K49" s="99" t="s">
        <v>438</v>
      </c>
      <c r="L49" s="99" t="s">
        <v>438</v>
      </c>
      <c r="M49" s="99" t="s">
        <v>438</v>
      </c>
      <c r="N49" s="99" t="s">
        <v>438</v>
      </c>
      <c r="O49" s="99" t="s">
        <v>438</v>
      </c>
      <c r="P49" s="99" t="s">
        <v>438</v>
      </c>
      <c r="Q49" s="99" t="s">
        <v>438</v>
      </c>
      <c r="R49" s="99" t="s">
        <v>438</v>
      </c>
      <c r="S49" s="99" t="s">
        <v>591</v>
      </c>
      <c r="T49" s="99" t="s">
        <v>439</v>
      </c>
      <c r="U49" s="99" t="s">
        <v>438</v>
      </c>
      <c r="V49" s="99" t="s">
        <v>621</v>
      </c>
    </row>
    <row r="50" spans="1:22">
      <c r="A50" s="99" t="s">
        <v>434</v>
      </c>
      <c r="B50" s="99" t="s">
        <v>281</v>
      </c>
      <c r="C50" s="99" t="s">
        <v>568</v>
      </c>
      <c r="D50" s="99" t="s">
        <v>281</v>
      </c>
      <c r="E50" s="99" t="s">
        <v>436</v>
      </c>
      <c r="F50" s="99" t="s">
        <v>436</v>
      </c>
      <c r="G50" s="99" t="s">
        <v>440</v>
      </c>
      <c r="H50" s="99" t="s">
        <v>437</v>
      </c>
      <c r="I50" s="99" t="s">
        <v>441</v>
      </c>
      <c r="J50" s="99" t="s">
        <v>569</v>
      </c>
      <c r="K50" s="99" t="s">
        <v>438</v>
      </c>
      <c r="L50" s="99" t="s">
        <v>438</v>
      </c>
      <c r="M50" s="99" t="s">
        <v>438</v>
      </c>
      <c r="N50" s="99" t="s">
        <v>438</v>
      </c>
      <c r="O50" s="99" t="s">
        <v>438</v>
      </c>
      <c r="P50" s="99" t="s">
        <v>438</v>
      </c>
      <c r="Q50" s="99" t="s">
        <v>597</v>
      </c>
      <c r="R50" s="99" t="s">
        <v>438</v>
      </c>
      <c r="S50" s="99" t="s">
        <v>595</v>
      </c>
      <c r="T50" s="99" t="s">
        <v>439</v>
      </c>
      <c r="U50" s="99" t="s">
        <v>438</v>
      </c>
      <c r="V50" s="99" t="s">
        <v>621</v>
      </c>
    </row>
    <row r="51" spans="1:22">
      <c r="A51" s="99" t="s">
        <v>434</v>
      </c>
      <c r="B51" s="99" t="s">
        <v>372</v>
      </c>
      <c r="C51" s="99" t="s">
        <v>570</v>
      </c>
      <c r="D51" s="99" t="s">
        <v>372</v>
      </c>
      <c r="E51" s="99" t="s">
        <v>436</v>
      </c>
      <c r="F51" s="99" t="s">
        <v>436</v>
      </c>
      <c r="G51" s="99" t="s">
        <v>469</v>
      </c>
      <c r="H51" s="99" t="s">
        <v>437</v>
      </c>
      <c r="I51" s="99" t="s">
        <v>441</v>
      </c>
      <c r="J51" s="99" t="s">
        <v>560</v>
      </c>
      <c r="K51" s="99" t="s">
        <v>438</v>
      </c>
      <c r="L51" s="99" t="s">
        <v>438</v>
      </c>
      <c r="M51" s="99" t="s">
        <v>438</v>
      </c>
      <c r="N51" s="99" t="s">
        <v>438</v>
      </c>
      <c r="O51" s="99" t="s">
        <v>438</v>
      </c>
      <c r="P51" s="99" t="s">
        <v>438</v>
      </c>
      <c r="Q51" s="99" t="s">
        <v>438</v>
      </c>
      <c r="R51" s="99" t="s">
        <v>438</v>
      </c>
      <c r="S51" s="99" t="s">
        <v>624</v>
      </c>
      <c r="T51" s="99" t="s">
        <v>439</v>
      </c>
      <c r="U51" s="99" t="s">
        <v>438</v>
      </c>
      <c r="V51" s="99" t="s">
        <v>621</v>
      </c>
    </row>
    <row r="52" spans="1:22">
      <c r="A52" s="99" t="s">
        <v>434</v>
      </c>
      <c r="B52" s="99" t="s">
        <v>571</v>
      </c>
      <c r="C52" s="99" t="s">
        <v>572</v>
      </c>
      <c r="D52" s="99" t="s">
        <v>571</v>
      </c>
      <c r="E52" s="99" t="s">
        <v>436</v>
      </c>
      <c r="F52" s="99" t="s">
        <v>436</v>
      </c>
      <c r="G52" s="99" t="s">
        <v>573</v>
      </c>
      <c r="H52" s="99" t="s">
        <v>507</v>
      </c>
      <c r="I52" s="99" t="s">
        <v>441</v>
      </c>
      <c r="J52" s="99" t="s">
        <v>574</v>
      </c>
      <c r="K52" s="99" t="s">
        <v>438</v>
      </c>
      <c r="L52" s="99" t="s">
        <v>438</v>
      </c>
      <c r="M52" s="99" t="s">
        <v>438</v>
      </c>
      <c r="N52" s="99" t="s">
        <v>438</v>
      </c>
      <c r="O52" s="99" t="s">
        <v>438</v>
      </c>
      <c r="P52" s="99" t="s">
        <v>438</v>
      </c>
      <c r="Q52" s="99" t="s">
        <v>438</v>
      </c>
      <c r="R52" s="99" t="s">
        <v>438</v>
      </c>
      <c r="S52" s="99" t="s">
        <v>624</v>
      </c>
      <c r="T52" s="99" t="s">
        <v>439</v>
      </c>
      <c r="U52" s="99" t="s">
        <v>438</v>
      </c>
      <c r="V52" s="99" t="s">
        <v>621</v>
      </c>
    </row>
    <row r="53" spans="1:22">
      <c r="A53" s="99" t="s">
        <v>434</v>
      </c>
      <c r="B53" s="99" t="s">
        <v>575</v>
      </c>
      <c r="C53" s="99" t="s">
        <v>576</v>
      </c>
      <c r="D53" s="99" t="s">
        <v>575</v>
      </c>
      <c r="E53" s="99" t="s">
        <v>436</v>
      </c>
      <c r="F53" s="99" t="s">
        <v>436</v>
      </c>
      <c r="G53" s="99" t="s">
        <v>483</v>
      </c>
      <c r="H53" s="99" t="s">
        <v>437</v>
      </c>
      <c r="I53" s="99" t="s">
        <v>441</v>
      </c>
      <c r="J53" s="99" t="s">
        <v>577</v>
      </c>
      <c r="K53" s="99" t="s">
        <v>438</v>
      </c>
      <c r="L53" s="99" t="s">
        <v>438</v>
      </c>
      <c r="M53" s="99" t="s">
        <v>438</v>
      </c>
      <c r="N53" s="99" t="s">
        <v>438</v>
      </c>
      <c r="O53" s="99" t="s">
        <v>438</v>
      </c>
      <c r="P53" s="99" t="s">
        <v>438</v>
      </c>
      <c r="Q53" s="99" t="s">
        <v>597</v>
      </c>
      <c r="R53" s="99" t="s">
        <v>438</v>
      </c>
      <c r="S53" s="99" t="s">
        <v>609</v>
      </c>
      <c r="T53" s="99" t="s">
        <v>439</v>
      </c>
      <c r="U53" s="99" t="s">
        <v>578</v>
      </c>
      <c r="V53" s="99" t="s">
        <v>625</v>
      </c>
    </row>
    <row r="54" spans="1:22">
      <c r="A54" s="99" t="s">
        <v>434</v>
      </c>
      <c r="B54" s="99" t="s">
        <v>579</v>
      </c>
      <c r="C54" s="99" t="s">
        <v>576</v>
      </c>
      <c r="D54" s="99" t="s">
        <v>579</v>
      </c>
      <c r="E54" s="99" t="s">
        <v>436</v>
      </c>
      <c r="F54" s="99" t="s">
        <v>436</v>
      </c>
      <c r="G54" s="99" t="s">
        <v>479</v>
      </c>
      <c r="H54" s="99" t="s">
        <v>437</v>
      </c>
      <c r="I54" s="99" t="s">
        <v>441</v>
      </c>
      <c r="J54" s="99" t="s">
        <v>580</v>
      </c>
      <c r="K54" s="99" t="s">
        <v>438</v>
      </c>
      <c r="L54" s="99" t="s">
        <v>438</v>
      </c>
      <c r="M54" s="99" t="s">
        <v>438</v>
      </c>
      <c r="N54" s="99" t="s">
        <v>438</v>
      </c>
      <c r="O54" s="99" t="s">
        <v>438</v>
      </c>
      <c r="P54" s="99" t="s">
        <v>438</v>
      </c>
      <c r="Q54" s="99" t="s">
        <v>597</v>
      </c>
      <c r="R54" s="99" t="s">
        <v>438</v>
      </c>
      <c r="S54" s="99" t="s">
        <v>614</v>
      </c>
      <c r="T54" s="99" t="s">
        <v>439</v>
      </c>
      <c r="U54" s="99" t="s">
        <v>578</v>
      </c>
      <c r="V54" s="99" t="s">
        <v>625</v>
      </c>
    </row>
    <row r="55" spans="1:22">
      <c r="A55" s="99" t="s">
        <v>434</v>
      </c>
      <c r="B55" s="99" t="s">
        <v>581</v>
      </c>
      <c r="C55" s="99" t="s">
        <v>576</v>
      </c>
      <c r="D55" s="99" t="s">
        <v>581</v>
      </c>
      <c r="E55" s="99" t="s">
        <v>436</v>
      </c>
      <c r="F55" s="99" t="s">
        <v>436</v>
      </c>
      <c r="G55" s="99" t="s">
        <v>549</v>
      </c>
      <c r="H55" s="99" t="s">
        <v>437</v>
      </c>
      <c r="I55" s="99" t="s">
        <v>441</v>
      </c>
      <c r="J55" s="99" t="s">
        <v>582</v>
      </c>
      <c r="K55" s="99" t="s">
        <v>438</v>
      </c>
      <c r="L55" s="99" t="s">
        <v>438</v>
      </c>
      <c r="M55" s="99" t="s">
        <v>438</v>
      </c>
      <c r="N55" s="99" t="s">
        <v>438</v>
      </c>
      <c r="O55" s="99" t="s">
        <v>438</v>
      </c>
      <c r="P55" s="99" t="s">
        <v>438</v>
      </c>
      <c r="Q55" s="99" t="s">
        <v>438</v>
      </c>
      <c r="R55" s="99" t="s">
        <v>438</v>
      </c>
      <c r="S55" s="99" t="s">
        <v>596</v>
      </c>
      <c r="T55" s="99" t="s">
        <v>439</v>
      </c>
      <c r="U55" s="99" t="s">
        <v>578</v>
      </c>
      <c r="V55" s="99" t="s">
        <v>625</v>
      </c>
    </row>
    <row r="56" spans="1:22">
      <c r="A56" s="99" t="s">
        <v>434</v>
      </c>
      <c r="B56" s="99" t="s">
        <v>587</v>
      </c>
      <c r="C56" s="99" t="s">
        <v>584</v>
      </c>
      <c r="D56" s="99" t="s">
        <v>587</v>
      </c>
      <c r="E56" s="99" t="s">
        <v>436</v>
      </c>
      <c r="F56" s="99" t="s">
        <v>436</v>
      </c>
      <c r="G56" s="99" t="s">
        <v>469</v>
      </c>
      <c r="H56" s="99" t="s">
        <v>507</v>
      </c>
      <c r="I56" s="99" t="s">
        <v>441</v>
      </c>
      <c r="J56" s="99" t="s">
        <v>588</v>
      </c>
      <c r="K56" s="99" t="s">
        <v>438</v>
      </c>
      <c r="L56" s="99" t="s">
        <v>438</v>
      </c>
      <c r="M56" s="99" t="s">
        <v>438</v>
      </c>
      <c r="N56" s="99" t="s">
        <v>438</v>
      </c>
      <c r="O56" s="99" t="s">
        <v>438</v>
      </c>
      <c r="P56" s="99" t="s">
        <v>438</v>
      </c>
      <c r="Q56" s="99" t="s">
        <v>438</v>
      </c>
      <c r="R56" s="99" t="s">
        <v>438</v>
      </c>
      <c r="S56" s="99" t="s">
        <v>626</v>
      </c>
      <c r="T56" s="99" t="s">
        <v>439</v>
      </c>
      <c r="U56" s="99" t="s">
        <v>578</v>
      </c>
      <c r="V56" s="99" t="s">
        <v>625</v>
      </c>
    </row>
    <row r="57" spans="1:22">
      <c r="A57" s="99" t="s">
        <v>434</v>
      </c>
      <c r="B57" s="99" t="s">
        <v>586</v>
      </c>
      <c r="C57" s="99" t="s">
        <v>584</v>
      </c>
      <c r="D57" s="99" t="s">
        <v>586</v>
      </c>
      <c r="E57" s="99" t="s">
        <v>436</v>
      </c>
      <c r="F57" s="99" t="s">
        <v>436</v>
      </c>
      <c r="G57" s="99" t="s">
        <v>483</v>
      </c>
      <c r="H57" s="99" t="s">
        <v>507</v>
      </c>
      <c r="I57" s="99" t="s">
        <v>441</v>
      </c>
      <c r="J57" s="99" t="s">
        <v>486</v>
      </c>
      <c r="K57" s="99" t="s">
        <v>438</v>
      </c>
      <c r="L57" s="99" t="s">
        <v>438</v>
      </c>
      <c r="M57" s="99" t="s">
        <v>438</v>
      </c>
      <c r="N57" s="99" t="s">
        <v>438</v>
      </c>
      <c r="O57" s="99" t="s">
        <v>438</v>
      </c>
      <c r="P57" s="99" t="s">
        <v>438</v>
      </c>
      <c r="Q57" s="99" t="s">
        <v>438</v>
      </c>
      <c r="R57" s="99" t="s">
        <v>438</v>
      </c>
      <c r="S57" s="99" t="s">
        <v>608</v>
      </c>
      <c r="T57" s="99" t="s">
        <v>439</v>
      </c>
      <c r="U57" s="99" t="s">
        <v>578</v>
      </c>
      <c r="V57" s="99" t="s">
        <v>625</v>
      </c>
    </row>
    <row r="58" spans="1:22">
      <c r="A58" s="99" t="s">
        <v>434</v>
      </c>
      <c r="B58" s="99" t="s">
        <v>583</v>
      </c>
      <c r="C58" s="99" t="s">
        <v>584</v>
      </c>
      <c r="D58" s="99" t="s">
        <v>583</v>
      </c>
      <c r="E58" s="99" t="s">
        <v>436</v>
      </c>
      <c r="F58" s="99" t="s">
        <v>436</v>
      </c>
      <c r="G58" s="99" t="s">
        <v>440</v>
      </c>
      <c r="H58" s="99" t="s">
        <v>507</v>
      </c>
      <c r="I58" s="99" t="s">
        <v>441</v>
      </c>
      <c r="J58" s="99" t="s">
        <v>585</v>
      </c>
      <c r="K58" s="99" t="s">
        <v>438</v>
      </c>
      <c r="L58" s="99" t="s">
        <v>438</v>
      </c>
      <c r="M58" s="99" t="s">
        <v>438</v>
      </c>
      <c r="N58" s="99" t="s">
        <v>438</v>
      </c>
      <c r="O58" s="99" t="s">
        <v>438</v>
      </c>
      <c r="P58" s="99" t="s">
        <v>438</v>
      </c>
      <c r="Q58" s="99" t="s">
        <v>438</v>
      </c>
      <c r="R58" s="99" t="s">
        <v>438</v>
      </c>
      <c r="S58" s="99" t="s">
        <v>627</v>
      </c>
      <c r="T58" s="99" t="s">
        <v>439</v>
      </c>
      <c r="U58" s="99" t="s">
        <v>578</v>
      </c>
      <c r="V58" s="99" t="s">
        <v>625</v>
      </c>
    </row>
    <row r="59" spans="1:22">
      <c r="A59" s="99" t="s">
        <v>405</v>
      </c>
      <c r="B59" s="99" t="s">
        <v>447</v>
      </c>
      <c r="C59" s="99" t="s">
        <v>448</v>
      </c>
      <c r="D59" s="99" t="s">
        <v>449</v>
      </c>
      <c r="E59" s="99" t="s">
        <v>450</v>
      </c>
      <c r="F59" s="99" t="s">
        <v>451</v>
      </c>
      <c r="G59" s="99" t="s">
        <v>452</v>
      </c>
      <c r="H59" s="99" t="s">
        <v>453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</row>
    <row r="60" spans="1:22">
      <c r="A60" s="99" t="s">
        <v>454</v>
      </c>
      <c r="B60" s="99" t="s">
        <v>589</v>
      </c>
      <c r="C60" s="99" t="s">
        <v>628</v>
      </c>
      <c r="D60" s="99" t="s">
        <v>629</v>
      </c>
      <c r="E60" s="99" t="s">
        <v>630</v>
      </c>
      <c r="F60" s="99" t="s">
        <v>606</v>
      </c>
      <c r="G60" s="99" t="s">
        <v>631</v>
      </c>
      <c r="H60" s="99" t="s">
        <v>439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</row>
    <row r="61" spans="1:22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</row>
    <row r="62" spans="1:22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</row>
    <row r="63" spans="1:22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</row>
    <row r="64" spans="1:22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</row>
    <row r="65" spans="1:22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</row>
    <row r="66" spans="1:22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</row>
    <row r="67" spans="1:22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</row>
    <row r="68" spans="1:22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</row>
    <row r="69" spans="1:22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</row>
    <row r="70" spans="1:22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</row>
    <row r="71" spans="1:22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</row>
    <row r="72" spans="1:2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</row>
    <row r="73" spans="1:22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</row>
    <row r="74" spans="1:22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</row>
    <row r="75" spans="1:22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</row>
    <row r="76" spans="1:22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</row>
    <row r="77" spans="1:22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</row>
    <row r="78" spans="1:22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</row>
    <row r="79" spans="1:22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</row>
    <row r="80" spans="1:22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</row>
    <row r="81" spans="1:22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</row>
    <row r="82" spans="1:2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</row>
    <row r="83" spans="1:22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</row>
    <row r="84" spans="1:22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</row>
    <row r="85" spans="1:22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</row>
    <row r="86" spans="1:22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</row>
    <row r="87" spans="1:22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</row>
    <row r="88" spans="1:22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</row>
    <row r="89" spans="1:22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</row>
    <row r="90" spans="1:22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</row>
    <row r="91" spans="1:22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</row>
    <row r="92" spans="1:2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</row>
    <row r="93" spans="1:22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</row>
    <row r="94" spans="1:22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</row>
    <row r="95" spans="1:22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</row>
    <row r="96" spans="1:22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</row>
    <row r="97" spans="1:22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</row>
    <row r="98" spans="1:22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</row>
    <row r="99" spans="1:22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84AA-2330-4A55-A9DD-57D477093E51}">
  <dimension ref="B3:F4"/>
  <sheetViews>
    <sheetView zoomScale="60" zoomScaleNormal="60" workbookViewId="0">
      <selection activeCell="O4" sqref="O4"/>
    </sheetView>
  </sheetViews>
  <sheetFormatPr baseColWidth="10" defaultRowHeight="15"/>
  <sheetData>
    <row r="3" spans="2:6">
      <c r="B3" s="58" t="s">
        <v>378</v>
      </c>
      <c r="C3" s="58" t="s">
        <v>379</v>
      </c>
      <c r="D3" s="58" t="s">
        <v>380</v>
      </c>
      <c r="E3" s="58" t="s">
        <v>381</v>
      </c>
      <c r="F3" s="58" t="s">
        <v>9</v>
      </c>
    </row>
    <row r="4" spans="2:6" ht="345.75" customHeight="1">
      <c r="B4" s="57" t="s">
        <v>374</v>
      </c>
      <c r="C4" s="57">
        <v>984465560</v>
      </c>
      <c r="D4" s="57" t="s">
        <v>375</v>
      </c>
      <c r="E4" s="57" t="s">
        <v>376</v>
      </c>
      <c r="F4" s="57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K135"/>
  <sheetViews>
    <sheetView zoomScaleNormal="100" workbookViewId="0">
      <pane xSplit="2" ySplit="1" topLeftCell="C107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baseColWidth="10" defaultColWidth="11.5" defaultRowHeight="15"/>
  <cols>
    <col min="1" max="1" width="15.83203125" style="5" bestFit="1" customWidth="1"/>
    <col min="2" max="2" width="40.33203125" style="4" bestFit="1" customWidth="1"/>
    <col min="3" max="3" width="10.33203125" style="23" bestFit="1" customWidth="1"/>
    <col min="4" max="4" width="10" style="22" customWidth="1"/>
    <col min="5" max="5" width="11.83203125" style="4" customWidth="1"/>
    <col min="6" max="7" width="9.83203125" style="4" hidden="1" customWidth="1"/>
    <col min="8" max="8" width="9.83203125" style="4" customWidth="1"/>
    <col min="9" max="10" width="10.1640625" style="4" customWidth="1"/>
    <col min="11" max="11" width="16.5" style="4" bestFit="1" customWidth="1"/>
    <col min="12" max="12" width="62" style="4" bestFit="1" customWidth="1"/>
    <col min="13" max="13" width="5.5" style="4" bestFit="1" customWidth="1"/>
    <col min="14" max="16" width="5.83203125" style="4" bestFit="1" customWidth="1"/>
    <col min="17" max="17" width="2.33203125" style="4" bestFit="1" customWidth="1"/>
    <col min="18" max="23" width="14.1640625" style="4" bestFit="1" customWidth="1"/>
    <col min="24" max="24" width="9.5" style="4" bestFit="1" customWidth="1"/>
    <col min="25" max="25" width="3.5" style="4" bestFit="1" customWidth="1"/>
    <col min="26" max="29" width="2.33203125" style="4" bestFit="1" customWidth="1"/>
    <col min="30" max="30" width="11.5" style="4"/>
    <col min="31" max="31" width="8.5" style="4" bestFit="1" customWidth="1"/>
    <col min="32" max="32" width="2.33203125" style="4" bestFit="1" customWidth="1"/>
    <col min="33" max="33" width="3.5" style="4" bestFit="1" customWidth="1"/>
    <col min="34" max="36" width="2.33203125" style="4" bestFit="1" customWidth="1"/>
    <col min="37" max="37" width="5.5" style="4" bestFit="1" customWidth="1"/>
    <col min="38" max="38" width="2.33203125" style="4" bestFit="1" customWidth="1"/>
    <col min="39" max="39" width="18.33203125" style="4" bestFit="1" customWidth="1"/>
    <col min="40" max="40" width="3.5" style="4" bestFit="1" customWidth="1"/>
    <col min="41" max="41" width="11.5" style="4"/>
    <col min="42" max="42" width="5.83203125" style="4" bestFit="1" customWidth="1"/>
    <col min="43" max="44" width="11.5" style="4"/>
    <col min="45" max="47" width="2.5" style="4" bestFit="1" customWidth="1"/>
    <col min="48" max="238" width="11.5" style="4"/>
    <col min="239" max="239" width="7" style="4" customWidth="1"/>
    <col min="240" max="240" width="29.5" style="4" customWidth="1"/>
    <col min="241" max="241" width="6.83203125" style="4" customWidth="1"/>
    <col min="242" max="242" width="7.5" style="4" customWidth="1"/>
    <col min="243" max="243" width="9.33203125" style="4" customWidth="1"/>
    <col min="244" max="244" width="10" style="4" customWidth="1"/>
    <col min="245" max="245" width="9" style="4" customWidth="1"/>
    <col min="246" max="247" width="7" style="4" customWidth="1"/>
    <col min="248" max="248" width="11.1640625" style="4" customWidth="1"/>
    <col min="249" max="249" width="9" style="4" customWidth="1"/>
    <col min="250" max="250" width="4.5" style="4" customWidth="1"/>
    <col min="251" max="252" width="9" style="4" customWidth="1"/>
    <col min="253" max="253" width="28.6640625" style="4" customWidth="1"/>
    <col min="254" max="255" width="8.5" style="4" customWidth="1"/>
    <col min="256" max="256" width="10.33203125" style="4" customWidth="1"/>
    <col min="257" max="257" width="10.1640625" style="4" customWidth="1"/>
    <col min="258" max="258" width="10.6640625" style="4" customWidth="1"/>
    <col min="259" max="259" width="11.5" style="4"/>
    <col min="260" max="260" width="9.6640625" style="4" customWidth="1"/>
    <col min="261" max="261" width="11.33203125" style="4" customWidth="1"/>
    <col min="262" max="262" width="10.33203125" style="4" customWidth="1"/>
    <col min="263" max="263" width="10" style="4" customWidth="1"/>
    <col min="264" max="264" width="9.6640625" style="4" customWidth="1"/>
    <col min="265" max="266" width="10.1640625" style="4" customWidth="1"/>
    <col min="267" max="267" width="22" style="4" customWidth="1"/>
    <col min="268" max="494" width="11.5" style="4"/>
    <col min="495" max="495" width="7" style="4" customWidth="1"/>
    <col min="496" max="496" width="29.5" style="4" customWidth="1"/>
    <col min="497" max="497" width="6.83203125" style="4" customWidth="1"/>
    <col min="498" max="498" width="7.5" style="4" customWidth="1"/>
    <col min="499" max="499" width="9.33203125" style="4" customWidth="1"/>
    <col min="500" max="500" width="10" style="4" customWidth="1"/>
    <col min="501" max="501" width="9" style="4" customWidth="1"/>
    <col min="502" max="503" width="7" style="4" customWidth="1"/>
    <col min="504" max="504" width="11.1640625" style="4" customWidth="1"/>
    <col min="505" max="505" width="9" style="4" customWidth="1"/>
    <col min="506" max="506" width="4.5" style="4" customWidth="1"/>
    <col min="507" max="508" width="9" style="4" customWidth="1"/>
    <col min="509" max="509" width="28.6640625" style="4" customWidth="1"/>
    <col min="510" max="511" width="8.5" style="4" customWidth="1"/>
    <col min="512" max="512" width="10.33203125" style="4" customWidth="1"/>
    <col min="513" max="513" width="10.1640625" style="4" customWidth="1"/>
    <col min="514" max="514" width="10.6640625" style="4" customWidth="1"/>
    <col min="515" max="515" width="11.5" style="4"/>
    <col min="516" max="516" width="9.6640625" style="4" customWidth="1"/>
    <col min="517" max="517" width="11.33203125" style="4" customWidth="1"/>
    <col min="518" max="518" width="10.33203125" style="4" customWidth="1"/>
    <col min="519" max="519" width="10" style="4" customWidth="1"/>
    <col min="520" max="520" width="9.6640625" style="4" customWidth="1"/>
    <col min="521" max="522" width="10.1640625" style="4" customWidth="1"/>
    <col min="523" max="523" width="22" style="4" customWidth="1"/>
    <col min="524" max="750" width="11.5" style="4"/>
    <col min="751" max="751" width="7" style="4" customWidth="1"/>
    <col min="752" max="752" width="29.5" style="4" customWidth="1"/>
    <col min="753" max="753" width="6.83203125" style="4" customWidth="1"/>
    <col min="754" max="754" width="7.5" style="4" customWidth="1"/>
    <col min="755" max="755" width="9.33203125" style="4" customWidth="1"/>
    <col min="756" max="756" width="10" style="4" customWidth="1"/>
    <col min="757" max="757" width="9" style="4" customWidth="1"/>
    <col min="758" max="759" width="7" style="4" customWidth="1"/>
    <col min="760" max="760" width="11.1640625" style="4" customWidth="1"/>
    <col min="761" max="761" width="9" style="4" customWidth="1"/>
    <col min="762" max="762" width="4.5" style="4" customWidth="1"/>
    <col min="763" max="764" width="9" style="4" customWidth="1"/>
    <col min="765" max="765" width="28.6640625" style="4" customWidth="1"/>
    <col min="766" max="767" width="8.5" style="4" customWidth="1"/>
    <col min="768" max="768" width="10.33203125" style="4" customWidth="1"/>
    <col min="769" max="769" width="10.1640625" style="4" customWidth="1"/>
    <col min="770" max="770" width="10.6640625" style="4" customWidth="1"/>
    <col min="771" max="771" width="11.5" style="4"/>
    <col min="772" max="772" width="9.6640625" style="4" customWidth="1"/>
    <col min="773" max="773" width="11.33203125" style="4" customWidth="1"/>
    <col min="774" max="774" width="10.33203125" style="4" customWidth="1"/>
    <col min="775" max="775" width="10" style="4" customWidth="1"/>
    <col min="776" max="776" width="9.6640625" style="4" customWidth="1"/>
    <col min="777" max="778" width="10.1640625" style="4" customWidth="1"/>
    <col min="779" max="779" width="22" style="4" customWidth="1"/>
    <col min="780" max="1006" width="11.5" style="4"/>
    <col min="1007" max="1007" width="7" style="4" customWidth="1"/>
    <col min="1008" max="1008" width="29.5" style="4" customWidth="1"/>
    <col min="1009" max="1009" width="6.83203125" style="4" customWidth="1"/>
    <col min="1010" max="1010" width="7.5" style="4" customWidth="1"/>
    <col min="1011" max="1011" width="9.33203125" style="4" customWidth="1"/>
    <col min="1012" max="1012" width="10" style="4" customWidth="1"/>
    <col min="1013" max="1013" width="9" style="4" customWidth="1"/>
    <col min="1014" max="1015" width="7" style="4" customWidth="1"/>
    <col min="1016" max="1016" width="11.1640625" style="4" customWidth="1"/>
    <col min="1017" max="1017" width="9" style="4" customWidth="1"/>
    <col min="1018" max="1018" width="4.5" style="4" customWidth="1"/>
    <col min="1019" max="1020" width="9" style="4" customWidth="1"/>
    <col min="1021" max="1021" width="28.6640625" style="4" customWidth="1"/>
    <col min="1022" max="1023" width="8.5" style="4" customWidth="1"/>
    <col min="1024" max="1024" width="10.33203125" style="4" customWidth="1"/>
    <col min="1025" max="1025" width="10.1640625" style="4" customWidth="1"/>
    <col min="1026" max="1026" width="10.6640625" style="4" customWidth="1"/>
    <col min="1027" max="1027" width="11.5" style="4"/>
    <col min="1028" max="1028" width="9.6640625" style="4" customWidth="1"/>
    <col min="1029" max="1029" width="11.33203125" style="4" customWidth="1"/>
    <col min="1030" max="1030" width="10.33203125" style="4" customWidth="1"/>
    <col min="1031" max="1031" width="10" style="4" customWidth="1"/>
    <col min="1032" max="1032" width="9.6640625" style="4" customWidth="1"/>
    <col min="1033" max="1034" width="10.1640625" style="4" customWidth="1"/>
    <col min="1035" max="1035" width="22" style="4" customWidth="1"/>
    <col min="1036" max="1262" width="11.5" style="4"/>
    <col min="1263" max="1263" width="7" style="4" customWidth="1"/>
    <col min="1264" max="1264" width="29.5" style="4" customWidth="1"/>
    <col min="1265" max="1265" width="6.83203125" style="4" customWidth="1"/>
    <col min="1266" max="1266" width="7.5" style="4" customWidth="1"/>
    <col min="1267" max="1267" width="9.33203125" style="4" customWidth="1"/>
    <col min="1268" max="1268" width="10" style="4" customWidth="1"/>
    <col min="1269" max="1269" width="9" style="4" customWidth="1"/>
    <col min="1270" max="1271" width="7" style="4" customWidth="1"/>
    <col min="1272" max="1272" width="11.1640625" style="4" customWidth="1"/>
    <col min="1273" max="1273" width="9" style="4" customWidth="1"/>
    <col min="1274" max="1274" width="4.5" style="4" customWidth="1"/>
    <col min="1275" max="1276" width="9" style="4" customWidth="1"/>
    <col min="1277" max="1277" width="28.6640625" style="4" customWidth="1"/>
    <col min="1278" max="1279" width="8.5" style="4" customWidth="1"/>
    <col min="1280" max="1280" width="10.33203125" style="4" customWidth="1"/>
    <col min="1281" max="1281" width="10.1640625" style="4" customWidth="1"/>
    <col min="1282" max="1282" width="10.6640625" style="4" customWidth="1"/>
    <col min="1283" max="1283" width="11.5" style="4"/>
    <col min="1284" max="1284" width="9.6640625" style="4" customWidth="1"/>
    <col min="1285" max="1285" width="11.33203125" style="4" customWidth="1"/>
    <col min="1286" max="1286" width="10.33203125" style="4" customWidth="1"/>
    <col min="1287" max="1287" width="10" style="4" customWidth="1"/>
    <col min="1288" max="1288" width="9.6640625" style="4" customWidth="1"/>
    <col min="1289" max="1290" width="10.1640625" style="4" customWidth="1"/>
    <col min="1291" max="1291" width="22" style="4" customWidth="1"/>
    <col min="1292" max="1518" width="11.5" style="4"/>
    <col min="1519" max="1519" width="7" style="4" customWidth="1"/>
    <col min="1520" max="1520" width="29.5" style="4" customWidth="1"/>
    <col min="1521" max="1521" width="6.83203125" style="4" customWidth="1"/>
    <col min="1522" max="1522" width="7.5" style="4" customWidth="1"/>
    <col min="1523" max="1523" width="9.33203125" style="4" customWidth="1"/>
    <col min="1524" max="1524" width="10" style="4" customWidth="1"/>
    <col min="1525" max="1525" width="9" style="4" customWidth="1"/>
    <col min="1526" max="1527" width="7" style="4" customWidth="1"/>
    <col min="1528" max="1528" width="11.1640625" style="4" customWidth="1"/>
    <col min="1529" max="1529" width="9" style="4" customWidth="1"/>
    <col min="1530" max="1530" width="4.5" style="4" customWidth="1"/>
    <col min="1531" max="1532" width="9" style="4" customWidth="1"/>
    <col min="1533" max="1533" width="28.6640625" style="4" customWidth="1"/>
    <col min="1534" max="1535" width="8.5" style="4" customWidth="1"/>
    <col min="1536" max="1536" width="10.33203125" style="4" customWidth="1"/>
    <col min="1537" max="1537" width="10.1640625" style="4" customWidth="1"/>
    <col min="1538" max="1538" width="10.6640625" style="4" customWidth="1"/>
    <col min="1539" max="1539" width="11.5" style="4"/>
    <col min="1540" max="1540" width="9.6640625" style="4" customWidth="1"/>
    <col min="1541" max="1541" width="11.33203125" style="4" customWidth="1"/>
    <col min="1542" max="1542" width="10.33203125" style="4" customWidth="1"/>
    <col min="1543" max="1543" width="10" style="4" customWidth="1"/>
    <col min="1544" max="1544" width="9.6640625" style="4" customWidth="1"/>
    <col min="1545" max="1546" width="10.1640625" style="4" customWidth="1"/>
    <col min="1547" max="1547" width="22" style="4" customWidth="1"/>
    <col min="1548" max="1774" width="11.5" style="4"/>
    <col min="1775" max="1775" width="7" style="4" customWidth="1"/>
    <col min="1776" max="1776" width="29.5" style="4" customWidth="1"/>
    <col min="1777" max="1777" width="6.83203125" style="4" customWidth="1"/>
    <col min="1778" max="1778" width="7.5" style="4" customWidth="1"/>
    <col min="1779" max="1779" width="9.33203125" style="4" customWidth="1"/>
    <col min="1780" max="1780" width="10" style="4" customWidth="1"/>
    <col min="1781" max="1781" width="9" style="4" customWidth="1"/>
    <col min="1782" max="1783" width="7" style="4" customWidth="1"/>
    <col min="1784" max="1784" width="11.1640625" style="4" customWidth="1"/>
    <col min="1785" max="1785" width="9" style="4" customWidth="1"/>
    <col min="1786" max="1786" width="4.5" style="4" customWidth="1"/>
    <col min="1787" max="1788" width="9" style="4" customWidth="1"/>
    <col min="1789" max="1789" width="28.6640625" style="4" customWidth="1"/>
    <col min="1790" max="1791" width="8.5" style="4" customWidth="1"/>
    <col min="1792" max="1792" width="10.33203125" style="4" customWidth="1"/>
    <col min="1793" max="1793" width="10.1640625" style="4" customWidth="1"/>
    <col min="1794" max="1794" width="10.6640625" style="4" customWidth="1"/>
    <col min="1795" max="1795" width="11.5" style="4"/>
    <col min="1796" max="1796" width="9.6640625" style="4" customWidth="1"/>
    <col min="1797" max="1797" width="11.33203125" style="4" customWidth="1"/>
    <col min="1798" max="1798" width="10.33203125" style="4" customWidth="1"/>
    <col min="1799" max="1799" width="10" style="4" customWidth="1"/>
    <col min="1800" max="1800" width="9.6640625" style="4" customWidth="1"/>
    <col min="1801" max="1802" width="10.1640625" style="4" customWidth="1"/>
    <col min="1803" max="1803" width="22" style="4" customWidth="1"/>
    <col min="1804" max="2030" width="11.5" style="4"/>
    <col min="2031" max="2031" width="7" style="4" customWidth="1"/>
    <col min="2032" max="2032" width="29.5" style="4" customWidth="1"/>
    <col min="2033" max="2033" width="6.83203125" style="4" customWidth="1"/>
    <col min="2034" max="2034" width="7.5" style="4" customWidth="1"/>
    <col min="2035" max="2035" width="9.33203125" style="4" customWidth="1"/>
    <col min="2036" max="2036" width="10" style="4" customWidth="1"/>
    <col min="2037" max="2037" width="9" style="4" customWidth="1"/>
    <col min="2038" max="2039" width="7" style="4" customWidth="1"/>
    <col min="2040" max="2040" width="11.1640625" style="4" customWidth="1"/>
    <col min="2041" max="2041" width="9" style="4" customWidth="1"/>
    <col min="2042" max="2042" width="4.5" style="4" customWidth="1"/>
    <col min="2043" max="2044" width="9" style="4" customWidth="1"/>
    <col min="2045" max="2045" width="28.6640625" style="4" customWidth="1"/>
    <col min="2046" max="2047" width="8.5" style="4" customWidth="1"/>
    <col min="2048" max="2048" width="10.33203125" style="4" customWidth="1"/>
    <col min="2049" max="2049" width="10.1640625" style="4" customWidth="1"/>
    <col min="2050" max="2050" width="10.6640625" style="4" customWidth="1"/>
    <col min="2051" max="2051" width="11.5" style="4"/>
    <col min="2052" max="2052" width="9.6640625" style="4" customWidth="1"/>
    <col min="2053" max="2053" width="11.33203125" style="4" customWidth="1"/>
    <col min="2054" max="2054" width="10.33203125" style="4" customWidth="1"/>
    <col min="2055" max="2055" width="10" style="4" customWidth="1"/>
    <col min="2056" max="2056" width="9.6640625" style="4" customWidth="1"/>
    <col min="2057" max="2058" width="10.1640625" style="4" customWidth="1"/>
    <col min="2059" max="2059" width="22" style="4" customWidth="1"/>
    <col min="2060" max="2286" width="11.5" style="4"/>
    <col min="2287" max="2287" width="7" style="4" customWidth="1"/>
    <col min="2288" max="2288" width="29.5" style="4" customWidth="1"/>
    <col min="2289" max="2289" width="6.83203125" style="4" customWidth="1"/>
    <col min="2290" max="2290" width="7.5" style="4" customWidth="1"/>
    <col min="2291" max="2291" width="9.33203125" style="4" customWidth="1"/>
    <col min="2292" max="2292" width="10" style="4" customWidth="1"/>
    <col min="2293" max="2293" width="9" style="4" customWidth="1"/>
    <col min="2294" max="2295" width="7" style="4" customWidth="1"/>
    <col min="2296" max="2296" width="11.1640625" style="4" customWidth="1"/>
    <col min="2297" max="2297" width="9" style="4" customWidth="1"/>
    <col min="2298" max="2298" width="4.5" style="4" customWidth="1"/>
    <col min="2299" max="2300" width="9" style="4" customWidth="1"/>
    <col min="2301" max="2301" width="28.6640625" style="4" customWidth="1"/>
    <col min="2302" max="2303" width="8.5" style="4" customWidth="1"/>
    <col min="2304" max="2304" width="10.33203125" style="4" customWidth="1"/>
    <col min="2305" max="2305" width="10.1640625" style="4" customWidth="1"/>
    <col min="2306" max="2306" width="10.6640625" style="4" customWidth="1"/>
    <col min="2307" max="2307" width="11.5" style="4"/>
    <col min="2308" max="2308" width="9.6640625" style="4" customWidth="1"/>
    <col min="2309" max="2309" width="11.33203125" style="4" customWidth="1"/>
    <col min="2310" max="2310" width="10.33203125" style="4" customWidth="1"/>
    <col min="2311" max="2311" width="10" style="4" customWidth="1"/>
    <col min="2312" max="2312" width="9.6640625" style="4" customWidth="1"/>
    <col min="2313" max="2314" width="10.1640625" style="4" customWidth="1"/>
    <col min="2315" max="2315" width="22" style="4" customWidth="1"/>
    <col min="2316" max="2542" width="11.5" style="4"/>
    <col min="2543" max="2543" width="7" style="4" customWidth="1"/>
    <col min="2544" max="2544" width="29.5" style="4" customWidth="1"/>
    <col min="2545" max="2545" width="6.83203125" style="4" customWidth="1"/>
    <col min="2546" max="2546" width="7.5" style="4" customWidth="1"/>
    <col min="2547" max="2547" width="9.33203125" style="4" customWidth="1"/>
    <col min="2548" max="2548" width="10" style="4" customWidth="1"/>
    <col min="2549" max="2549" width="9" style="4" customWidth="1"/>
    <col min="2550" max="2551" width="7" style="4" customWidth="1"/>
    <col min="2552" max="2552" width="11.1640625" style="4" customWidth="1"/>
    <col min="2553" max="2553" width="9" style="4" customWidth="1"/>
    <col min="2554" max="2554" width="4.5" style="4" customWidth="1"/>
    <col min="2555" max="2556" width="9" style="4" customWidth="1"/>
    <col min="2557" max="2557" width="28.6640625" style="4" customWidth="1"/>
    <col min="2558" max="2559" width="8.5" style="4" customWidth="1"/>
    <col min="2560" max="2560" width="10.33203125" style="4" customWidth="1"/>
    <col min="2561" max="2561" width="10.1640625" style="4" customWidth="1"/>
    <col min="2562" max="2562" width="10.6640625" style="4" customWidth="1"/>
    <col min="2563" max="2563" width="11.5" style="4"/>
    <col min="2564" max="2564" width="9.6640625" style="4" customWidth="1"/>
    <col min="2565" max="2565" width="11.33203125" style="4" customWidth="1"/>
    <col min="2566" max="2566" width="10.33203125" style="4" customWidth="1"/>
    <col min="2567" max="2567" width="10" style="4" customWidth="1"/>
    <col min="2568" max="2568" width="9.6640625" style="4" customWidth="1"/>
    <col min="2569" max="2570" width="10.1640625" style="4" customWidth="1"/>
    <col min="2571" max="2571" width="22" style="4" customWidth="1"/>
    <col min="2572" max="2798" width="11.5" style="4"/>
    <col min="2799" max="2799" width="7" style="4" customWidth="1"/>
    <col min="2800" max="2800" width="29.5" style="4" customWidth="1"/>
    <col min="2801" max="2801" width="6.83203125" style="4" customWidth="1"/>
    <col min="2802" max="2802" width="7.5" style="4" customWidth="1"/>
    <col min="2803" max="2803" width="9.33203125" style="4" customWidth="1"/>
    <col min="2804" max="2804" width="10" style="4" customWidth="1"/>
    <col min="2805" max="2805" width="9" style="4" customWidth="1"/>
    <col min="2806" max="2807" width="7" style="4" customWidth="1"/>
    <col min="2808" max="2808" width="11.1640625" style="4" customWidth="1"/>
    <col min="2809" max="2809" width="9" style="4" customWidth="1"/>
    <col min="2810" max="2810" width="4.5" style="4" customWidth="1"/>
    <col min="2811" max="2812" width="9" style="4" customWidth="1"/>
    <col min="2813" max="2813" width="28.6640625" style="4" customWidth="1"/>
    <col min="2814" max="2815" width="8.5" style="4" customWidth="1"/>
    <col min="2816" max="2816" width="10.33203125" style="4" customWidth="1"/>
    <col min="2817" max="2817" width="10.1640625" style="4" customWidth="1"/>
    <col min="2818" max="2818" width="10.6640625" style="4" customWidth="1"/>
    <col min="2819" max="2819" width="11.5" style="4"/>
    <col min="2820" max="2820" width="9.6640625" style="4" customWidth="1"/>
    <col min="2821" max="2821" width="11.33203125" style="4" customWidth="1"/>
    <col min="2822" max="2822" width="10.33203125" style="4" customWidth="1"/>
    <col min="2823" max="2823" width="10" style="4" customWidth="1"/>
    <col min="2824" max="2824" width="9.6640625" style="4" customWidth="1"/>
    <col min="2825" max="2826" width="10.1640625" style="4" customWidth="1"/>
    <col min="2827" max="2827" width="22" style="4" customWidth="1"/>
    <col min="2828" max="3054" width="11.5" style="4"/>
    <col min="3055" max="3055" width="7" style="4" customWidth="1"/>
    <col min="3056" max="3056" width="29.5" style="4" customWidth="1"/>
    <col min="3057" max="3057" width="6.83203125" style="4" customWidth="1"/>
    <col min="3058" max="3058" width="7.5" style="4" customWidth="1"/>
    <col min="3059" max="3059" width="9.33203125" style="4" customWidth="1"/>
    <col min="3060" max="3060" width="10" style="4" customWidth="1"/>
    <col min="3061" max="3061" width="9" style="4" customWidth="1"/>
    <col min="3062" max="3063" width="7" style="4" customWidth="1"/>
    <col min="3064" max="3064" width="11.1640625" style="4" customWidth="1"/>
    <col min="3065" max="3065" width="9" style="4" customWidth="1"/>
    <col min="3066" max="3066" width="4.5" style="4" customWidth="1"/>
    <col min="3067" max="3068" width="9" style="4" customWidth="1"/>
    <col min="3069" max="3069" width="28.6640625" style="4" customWidth="1"/>
    <col min="3070" max="3071" width="8.5" style="4" customWidth="1"/>
    <col min="3072" max="3072" width="10.33203125" style="4" customWidth="1"/>
    <col min="3073" max="3073" width="10.1640625" style="4" customWidth="1"/>
    <col min="3074" max="3074" width="10.6640625" style="4" customWidth="1"/>
    <col min="3075" max="3075" width="11.5" style="4"/>
    <col min="3076" max="3076" width="9.6640625" style="4" customWidth="1"/>
    <col min="3077" max="3077" width="11.33203125" style="4" customWidth="1"/>
    <col min="3078" max="3078" width="10.33203125" style="4" customWidth="1"/>
    <col min="3079" max="3079" width="10" style="4" customWidth="1"/>
    <col min="3080" max="3080" width="9.6640625" style="4" customWidth="1"/>
    <col min="3081" max="3082" width="10.1640625" style="4" customWidth="1"/>
    <col min="3083" max="3083" width="22" style="4" customWidth="1"/>
    <col min="3084" max="3310" width="11.5" style="4"/>
    <col min="3311" max="3311" width="7" style="4" customWidth="1"/>
    <col min="3312" max="3312" width="29.5" style="4" customWidth="1"/>
    <col min="3313" max="3313" width="6.83203125" style="4" customWidth="1"/>
    <col min="3314" max="3314" width="7.5" style="4" customWidth="1"/>
    <col min="3315" max="3315" width="9.33203125" style="4" customWidth="1"/>
    <col min="3316" max="3316" width="10" style="4" customWidth="1"/>
    <col min="3317" max="3317" width="9" style="4" customWidth="1"/>
    <col min="3318" max="3319" width="7" style="4" customWidth="1"/>
    <col min="3320" max="3320" width="11.1640625" style="4" customWidth="1"/>
    <col min="3321" max="3321" width="9" style="4" customWidth="1"/>
    <col min="3322" max="3322" width="4.5" style="4" customWidth="1"/>
    <col min="3323" max="3324" width="9" style="4" customWidth="1"/>
    <col min="3325" max="3325" width="28.6640625" style="4" customWidth="1"/>
    <col min="3326" max="3327" width="8.5" style="4" customWidth="1"/>
    <col min="3328" max="3328" width="10.33203125" style="4" customWidth="1"/>
    <col min="3329" max="3329" width="10.1640625" style="4" customWidth="1"/>
    <col min="3330" max="3330" width="10.6640625" style="4" customWidth="1"/>
    <col min="3331" max="3331" width="11.5" style="4"/>
    <col min="3332" max="3332" width="9.6640625" style="4" customWidth="1"/>
    <col min="3333" max="3333" width="11.33203125" style="4" customWidth="1"/>
    <col min="3334" max="3334" width="10.33203125" style="4" customWidth="1"/>
    <col min="3335" max="3335" width="10" style="4" customWidth="1"/>
    <col min="3336" max="3336" width="9.6640625" style="4" customWidth="1"/>
    <col min="3337" max="3338" width="10.1640625" style="4" customWidth="1"/>
    <col min="3339" max="3339" width="22" style="4" customWidth="1"/>
    <col min="3340" max="3566" width="11.5" style="4"/>
    <col min="3567" max="3567" width="7" style="4" customWidth="1"/>
    <col min="3568" max="3568" width="29.5" style="4" customWidth="1"/>
    <col min="3569" max="3569" width="6.83203125" style="4" customWidth="1"/>
    <col min="3570" max="3570" width="7.5" style="4" customWidth="1"/>
    <col min="3571" max="3571" width="9.33203125" style="4" customWidth="1"/>
    <col min="3572" max="3572" width="10" style="4" customWidth="1"/>
    <col min="3573" max="3573" width="9" style="4" customWidth="1"/>
    <col min="3574" max="3575" width="7" style="4" customWidth="1"/>
    <col min="3576" max="3576" width="11.1640625" style="4" customWidth="1"/>
    <col min="3577" max="3577" width="9" style="4" customWidth="1"/>
    <col min="3578" max="3578" width="4.5" style="4" customWidth="1"/>
    <col min="3579" max="3580" width="9" style="4" customWidth="1"/>
    <col min="3581" max="3581" width="28.6640625" style="4" customWidth="1"/>
    <col min="3582" max="3583" width="8.5" style="4" customWidth="1"/>
    <col min="3584" max="3584" width="10.33203125" style="4" customWidth="1"/>
    <col min="3585" max="3585" width="10.1640625" style="4" customWidth="1"/>
    <col min="3586" max="3586" width="10.6640625" style="4" customWidth="1"/>
    <col min="3587" max="3587" width="11.5" style="4"/>
    <col min="3588" max="3588" width="9.6640625" style="4" customWidth="1"/>
    <col min="3589" max="3589" width="11.33203125" style="4" customWidth="1"/>
    <col min="3590" max="3590" width="10.33203125" style="4" customWidth="1"/>
    <col min="3591" max="3591" width="10" style="4" customWidth="1"/>
    <col min="3592" max="3592" width="9.6640625" style="4" customWidth="1"/>
    <col min="3593" max="3594" width="10.1640625" style="4" customWidth="1"/>
    <col min="3595" max="3595" width="22" style="4" customWidth="1"/>
    <col min="3596" max="3822" width="11.5" style="4"/>
    <col min="3823" max="3823" width="7" style="4" customWidth="1"/>
    <col min="3824" max="3824" width="29.5" style="4" customWidth="1"/>
    <col min="3825" max="3825" width="6.83203125" style="4" customWidth="1"/>
    <col min="3826" max="3826" width="7.5" style="4" customWidth="1"/>
    <col min="3827" max="3827" width="9.33203125" style="4" customWidth="1"/>
    <col min="3828" max="3828" width="10" style="4" customWidth="1"/>
    <col min="3829" max="3829" width="9" style="4" customWidth="1"/>
    <col min="3830" max="3831" width="7" style="4" customWidth="1"/>
    <col min="3832" max="3832" width="11.1640625" style="4" customWidth="1"/>
    <col min="3833" max="3833" width="9" style="4" customWidth="1"/>
    <col min="3834" max="3834" width="4.5" style="4" customWidth="1"/>
    <col min="3835" max="3836" width="9" style="4" customWidth="1"/>
    <col min="3837" max="3837" width="28.6640625" style="4" customWidth="1"/>
    <col min="3838" max="3839" width="8.5" style="4" customWidth="1"/>
    <col min="3840" max="3840" width="10.33203125" style="4" customWidth="1"/>
    <col min="3841" max="3841" width="10.1640625" style="4" customWidth="1"/>
    <col min="3842" max="3842" width="10.6640625" style="4" customWidth="1"/>
    <col min="3843" max="3843" width="11.5" style="4"/>
    <col min="3844" max="3844" width="9.6640625" style="4" customWidth="1"/>
    <col min="3845" max="3845" width="11.33203125" style="4" customWidth="1"/>
    <col min="3846" max="3846" width="10.33203125" style="4" customWidth="1"/>
    <col min="3847" max="3847" width="10" style="4" customWidth="1"/>
    <col min="3848" max="3848" width="9.6640625" style="4" customWidth="1"/>
    <col min="3849" max="3850" width="10.1640625" style="4" customWidth="1"/>
    <col min="3851" max="3851" width="22" style="4" customWidth="1"/>
    <col min="3852" max="4078" width="11.5" style="4"/>
    <col min="4079" max="4079" width="7" style="4" customWidth="1"/>
    <col min="4080" max="4080" width="29.5" style="4" customWidth="1"/>
    <col min="4081" max="4081" width="6.83203125" style="4" customWidth="1"/>
    <col min="4082" max="4082" width="7.5" style="4" customWidth="1"/>
    <col min="4083" max="4083" width="9.33203125" style="4" customWidth="1"/>
    <col min="4084" max="4084" width="10" style="4" customWidth="1"/>
    <col min="4085" max="4085" width="9" style="4" customWidth="1"/>
    <col min="4086" max="4087" width="7" style="4" customWidth="1"/>
    <col min="4088" max="4088" width="11.1640625" style="4" customWidth="1"/>
    <col min="4089" max="4089" width="9" style="4" customWidth="1"/>
    <col min="4090" max="4090" width="4.5" style="4" customWidth="1"/>
    <col min="4091" max="4092" width="9" style="4" customWidth="1"/>
    <col min="4093" max="4093" width="28.6640625" style="4" customWidth="1"/>
    <col min="4094" max="4095" width="8.5" style="4" customWidth="1"/>
    <col min="4096" max="4096" width="10.33203125" style="4" customWidth="1"/>
    <col min="4097" max="4097" width="10.1640625" style="4" customWidth="1"/>
    <col min="4098" max="4098" width="10.6640625" style="4" customWidth="1"/>
    <col min="4099" max="4099" width="11.5" style="4"/>
    <col min="4100" max="4100" width="9.6640625" style="4" customWidth="1"/>
    <col min="4101" max="4101" width="11.33203125" style="4" customWidth="1"/>
    <col min="4102" max="4102" width="10.33203125" style="4" customWidth="1"/>
    <col min="4103" max="4103" width="10" style="4" customWidth="1"/>
    <col min="4104" max="4104" width="9.6640625" style="4" customWidth="1"/>
    <col min="4105" max="4106" width="10.1640625" style="4" customWidth="1"/>
    <col min="4107" max="4107" width="22" style="4" customWidth="1"/>
    <col min="4108" max="4334" width="11.5" style="4"/>
    <col min="4335" max="4335" width="7" style="4" customWidth="1"/>
    <col min="4336" max="4336" width="29.5" style="4" customWidth="1"/>
    <col min="4337" max="4337" width="6.83203125" style="4" customWidth="1"/>
    <col min="4338" max="4338" width="7.5" style="4" customWidth="1"/>
    <col min="4339" max="4339" width="9.33203125" style="4" customWidth="1"/>
    <col min="4340" max="4340" width="10" style="4" customWidth="1"/>
    <col min="4341" max="4341" width="9" style="4" customWidth="1"/>
    <col min="4342" max="4343" width="7" style="4" customWidth="1"/>
    <col min="4344" max="4344" width="11.1640625" style="4" customWidth="1"/>
    <col min="4345" max="4345" width="9" style="4" customWidth="1"/>
    <col min="4346" max="4346" width="4.5" style="4" customWidth="1"/>
    <col min="4347" max="4348" width="9" style="4" customWidth="1"/>
    <col min="4349" max="4349" width="28.6640625" style="4" customWidth="1"/>
    <col min="4350" max="4351" width="8.5" style="4" customWidth="1"/>
    <col min="4352" max="4352" width="10.33203125" style="4" customWidth="1"/>
    <col min="4353" max="4353" width="10.1640625" style="4" customWidth="1"/>
    <col min="4354" max="4354" width="10.6640625" style="4" customWidth="1"/>
    <col min="4355" max="4355" width="11.5" style="4"/>
    <col min="4356" max="4356" width="9.6640625" style="4" customWidth="1"/>
    <col min="4357" max="4357" width="11.33203125" style="4" customWidth="1"/>
    <col min="4358" max="4358" width="10.33203125" style="4" customWidth="1"/>
    <col min="4359" max="4359" width="10" style="4" customWidth="1"/>
    <col min="4360" max="4360" width="9.6640625" style="4" customWidth="1"/>
    <col min="4361" max="4362" width="10.1640625" style="4" customWidth="1"/>
    <col min="4363" max="4363" width="22" style="4" customWidth="1"/>
    <col min="4364" max="4590" width="11.5" style="4"/>
    <col min="4591" max="4591" width="7" style="4" customWidth="1"/>
    <col min="4592" max="4592" width="29.5" style="4" customWidth="1"/>
    <col min="4593" max="4593" width="6.83203125" style="4" customWidth="1"/>
    <col min="4594" max="4594" width="7.5" style="4" customWidth="1"/>
    <col min="4595" max="4595" width="9.33203125" style="4" customWidth="1"/>
    <col min="4596" max="4596" width="10" style="4" customWidth="1"/>
    <col min="4597" max="4597" width="9" style="4" customWidth="1"/>
    <col min="4598" max="4599" width="7" style="4" customWidth="1"/>
    <col min="4600" max="4600" width="11.1640625" style="4" customWidth="1"/>
    <col min="4601" max="4601" width="9" style="4" customWidth="1"/>
    <col min="4602" max="4602" width="4.5" style="4" customWidth="1"/>
    <col min="4603" max="4604" width="9" style="4" customWidth="1"/>
    <col min="4605" max="4605" width="28.6640625" style="4" customWidth="1"/>
    <col min="4606" max="4607" width="8.5" style="4" customWidth="1"/>
    <col min="4608" max="4608" width="10.33203125" style="4" customWidth="1"/>
    <col min="4609" max="4609" width="10.1640625" style="4" customWidth="1"/>
    <col min="4610" max="4610" width="10.6640625" style="4" customWidth="1"/>
    <col min="4611" max="4611" width="11.5" style="4"/>
    <col min="4612" max="4612" width="9.6640625" style="4" customWidth="1"/>
    <col min="4613" max="4613" width="11.33203125" style="4" customWidth="1"/>
    <col min="4614" max="4614" width="10.33203125" style="4" customWidth="1"/>
    <col min="4615" max="4615" width="10" style="4" customWidth="1"/>
    <col min="4616" max="4616" width="9.6640625" style="4" customWidth="1"/>
    <col min="4617" max="4618" width="10.1640625" style="4" customWidth="1"/>
    <col min="4619" max="4619" width="22" style="4" customWidth="1"/>
    <col min="4620" max="4846" width="11.5" style="4"/>
    <col min="4847" max="4847" width="7" style="4" customWidth="1"/>
    <col min="4848" max="4848" width="29.5" style="4" customWidth="1"/>
    <col min="4849" max="4849" width="6.83203125" style="4" customWidth="1"/>
    <col min="4850" max="4850" width="7.5" style="4" customWidth="1"/>
    <col min="4851" max="4851" width="9.33203125" style="4" customWidth="1"/>
    <col min="4852" max="4852" width="10" style="4" customWidth="1"/>
    <col min="4853" max="4853" width="9" style="4" customWidth="1"/>
    <col min="4854" max="4855" width="7" style="4" customWidth="1"/>
    <col min="4856" max="4856" width="11.1640625" style="4" customWidth="1"/>
    <col min="4857" max="4857" width="9" style="4" customWidth="1"/>
    <col min="4858" max="4858" width="4.5" style="4" customWidth="1"/>
    <col min="4859" max="4860" width="9" style="4" customWidth="1"/>
    <col min="4861" max="4861" width="28.6640625" style="4" customWidth="1"/>
    <col min="4862" max="4863" width="8.5" style="4" customWidth="1"/>
    <col min="4864" max="4864" width="10.33203125" style="4" customWidth="1"/>
    <col min="4865" max="4865" width="10.1640625" style="4" customWidth="1"/>
    <col min="4866" max="4866" width="10.6640625" style="4" customWidth="1"/>
    <col min="4867" max="4867" width="11.5" style="4"/>
    <col min="4868" max="4868" width="9.6640625" style="4" customWidth="1"/>
    <col min="4869" max="4869" width="11.33203125" style="4" customWidth="1"/>
    <col min="4870" max="4870" width="10.33203125" style="4" customWidth="1"/>
    <col min="4871" max="4871" width="10" style="4" customWidth="1"/>
    <col min="4872" max="4872" width="9.6640625" style="4" customWidth="1"/>
    <col min="4873" max="4874" width="10.1640625" style="4" customWidth="1"/>
    <col min="4875" max="4875" width="22" style="4" customWidth="1"/>
    <col min="4876" max="5102" width="11.5" style="4"/>
    <col min="5103" max="5103" width="7" style="4" customWidth="1"/>
    <col min="5104" max="5104" width="29.5" style="4" customWidth="1"/>
    <col min="5105" max="5105" width="6.83203125" style="4" customWidth="1"/>
    <col min="5106" max="5106" width="7.5" style="4" customWidth="1"/>
    <col min="5107" max="5107" width="9.33203125" style="4" customWidth="1"/>
    <col min="5108" max="5108" width="10" style="4" customWidth="1"/>
    <col min="5109" max="5109" width="9" style="4" customWidth="1"/>
    <col min="5110" max="5111" width="7" style="4" customWidth="1"/>
    <col min="5112" max="5112" width="11.1640625" style="4" customWidth="1"/>
    <col min="5113" max="5113" width="9" style="4" customWidth="1"/>
    <col min="5114" max="5114" width="4.5" style="4" customWidth="1"/>
    <col min="5115" max="5116" width="9" style="4" customWidth="1"/>
    <col min="5117" max="5117" width="28.6640625" style="4" customWidth="1"/>
    <col min="5118" max="5119" width="8.5" style="4" customWidth="1"/>
    <col min="5120" max="5120" width="10.33203125" style="4" customWidth="1"/>
    <col min="5121" max="5121" width="10.1640625" style="4" customWidth="1"/>
    <col min="5122" max="5122" width="10.6640625" style="4" customWidth="1"/>
    <col min="5123" max="5123" width="11.5" style="4"/>
    <col min="5124" max="5124" width="9.6640625" style="4" customWidth="1"/>
    <col min="5125" max="5125" width="11.33203125" style="4" customWidth="1"/>
    <col min="5126" max="5126" width="10.33203125" style="4" customWidth="1"/>
    <col min="5127" max="5127" width="10" style="4" customWidth="1"/>
    <col min="5128" max="5128" width="9.6640625" style="4" customWidth="1"/>
    <col min="5129" max="5130" width="10.1640625" style="4" customWidth="1"/>
    <col min="5131" max="5131" width="22" style="4" customWidth="1"/>
    <col min="5132" max="5358" width="11.5" style="4"/>
    <col min="5359" max="5359" width="7" style="4" customWidth="1"/>
    <col min="5360" max="5360" width="29.5" style="4" customWidth="1"/>
    <col min="5361" max="5361" width="6.83203125" style="4" customWidth="1"/>
    <col min="5362" max="5362" width="7.5" style="4" customWidth="1"/>
    <col min="5363" max="5363" width="9.33203125" style="4" customWidth="1"/>
    <col min="5364" max="5364" width="10" style="4" customWidth="1"/>
    <col min="5365" max="5365" width="9" style="4" customWidth="1"/>
    <col min="5366" max="5367" width="7" style="4" customWidth="1"/>
    <col min="5368" max="5368" width="11.1640625" style="4" customWidth="1"/>
    <col min="5369" max="5369" width="9" style="4" customWidth="1"/>
    <col min="5370" max="5370" width="4.5" style="4" customWidth="1"/>
    <col min="5371" max="5372" width="9" style="4" customWidth="1"/>
    <col min="5373" max="5373" width="28.6640625" style="4" customWidth="1"/>
    <col min="5374" max="5375" width="8.5" style="4" customWidth="1"/>
    <col min="5376" max="5376" width="10.33203125" style="4" customWidth="1"/>
    <col min="5377" max="5377" width="10.1640625" style="4" customWidth="1"/>
    <col min="5378" max="5378" width="10.6640625" style="4" customWidth="1"/>
    <col min="5379" max="5379" width="11.5" style="4"/>
    <col min="5380" max="5380" width="9.6640625" style="4" customWidth="1"/>
    <col min="5381" max="5381" width="11.33203125" style="4" customWidth="1"/>
    <col min="5382" max="5382" width="10.33203125" style="4" customWidth="1"/>
    <col min="5383" max="5383" width="10" style="4" customWidth="1"/>
    <col min="5384" max="5384" width="9.6640625" style="4" customWidth="1"/>
    <col min="5385" max="5386" width="10.1640625" style="4" customWidth="1"/>
    <col min="5387" max="5387" width="22" style="4" customWidth="1"/>
    <col min="5388" max="5614" width="11.5" style="4"/>
    <col min="5615" max="5615" width="7" style="4" customWidth="1"/>
    <col min="5616" max="5616" width="29.5" style="4" customWidth="1"/>
    <col min="5617" max="5617" width="6.83203125" style="4" customWidth="1"/>
    <col min="5618" max="5618" width="7.5" style="4" customWidth="1"/>
    <col min="5619" max="5619" width="9.33203125" style="4" customWidth="1"/>
    <col min="5620" max="5620" width="10" style="4" customWidth="1"/>
    <col min="5621" max="5621" width="9" style="4" customWidth="1"/>
    <col min="5622" max="5623" width="7" style="4" customWidth="1"/>
    <col min="5624" max="5624" width="11.1640625" style="4" customWidth="1"/>
    <col min="5625" max="5625" width="9" style="4" customWidth="1"/>
    <col min="5626" max="5626" width="4.5" style="4" customWidth="1"/>
    <col min="5627" max="5628" width="9" style="4" customWidth="1"/>
    <col min="5629" max="5629" width="28.6640625" style="4" customWidth="1"/>
    <col min="5630" max="5631" width="8.5" style="4" customWidth="1"/>
    <col min="5632" max="5632" width="10.33203125" style="4" customWidth="1"/>
    <col min="5633" max="5633" width="10.1640625" style="4" customWidth="1"/>
    <col min="5634" max="5634" width="10.6640625" style="4" customWidth="1"/>
    <col min="5635" max="5635" width="11.5" style="4"/>
    <col min="5636" max="5636" width="9.6640625" style="4" customWidth="1"/>
    <col min="5637" max="5637" width="11.33203125" style="4" customWidth="1"/>
    <col min="5638" max="5638" width="10.33203125" style="4" customWidth="1"/>
    <col min="5639" max="5639" width="10" style="4" customWidth="1"/>
    <col min="5640" max="5640" width="9.6640625" style="4" customWidth="1"/>
    <col min="5641" max="5642" width="10.1640625" style="4" customWidth="1"/>
    <col min="5643" max="5643" width="22" style="4" customWidth="1"/>
    <col min="5644" max="5870" width="11.5" style="4"/>
    <col min="5871" max="5871" width="7" style="4" customWidth="1"/>
    <col min="5872" max="5872" width="29.5" style="4" customWidth="1"/>
    <col min="5873" max="5873" width="6.83203125" style="4" customWidth="1"/>
    <col min="5874" max="5874" width="7.5" style="4" customWidth="1"/>
    <col min="5875" max="5875" width="9.33203125" style="4" customWidth="1"/>
    <col min="5876" max="5876" width="10" style="4" customWidth="1"/>
    <col min="5877" max="5877" width="9" style="4" customWidth="1"/>
    <col min="5878" max="5879" width="7" style="4" customWidth="1"/>
    <col min="5880" max="5880" width="11.1640625" style="4" customWidth="1"/>
    <col min="5881" max="5881" width="9" style="4" customWidth="1"/>
    <col min="5882" max="5882" width="4.5" style="4" customWidth="1"/>
    <col min="5883" max="5884" width="9" style="4" customWidth="1"/>
    <col min="5885" max="5885" width="28.6640625" style="4" customWidth="1"/>
    <col min="5886" max="5887" width="8.5" style="4" customWidth="1"/>
    <col min="5888" max="5888" width="10.33203125" style="4" customWidth="1"/>
    <col min="5889" max="5889" width="10.1640625" style="4" customWidth="1"/>
    <col min="5890" max="5890" width="10.6640625" style="4" customWidth="1"/>
    <col min="5891" max="5891" width="11.5" style="4"/>
    <col min="5892" max="5892" width="9.6640625" style="4" customWidth="1"/>
    <col min="5893" max="5893" width="11.33203125" style="4" customWidth="1"/>
    <col min="5894" max="5894" width="10.33203125" style="4" customWidth="1"/>
    <col min="5895" max="5895" width="10" style="4" customWidth="1"/>
    <col min="5896" max="5896" width="9.6640625" style="4" customWidth="1"/>
    <col min="5897" max="5898" width="10.1640625" style="4" customWidth="1"/>
    <col min="5899" max="5899" width="22" style="4" customWidth="1"/>
    <col min="5900" max="6126" width="11.5" style="4"/>
    <col min="6127" max="6127" width="7" style="4" customWidth="1"/>
    <col min="6128" max="6128" width="29.5" style="4" customWidth="1"/>
    <col min="6129" max="6129" width="6.83203125" style="4" customWidth="1"/>
    <col min="6130" max="6130" width="7.5" style="4" customWidth="1"/>
    <col min="6131" max="6131" width="9.33203125" style="4" customWidth="1"/>
    <col min="6132" max="6132" width="10" style="4" customWidth="1"/>
    <col min="6133" max="6133" width="9" style="4" customWidth="1"/>
    <col min="6134" max="6135" width="7" style="4" customWidth="1"/>
    <col min="6136" max="6136" width="11.1640625" style="4" customWidth="1"/>
    <col min="6137" max="6137" width="9" style="4" customWidth="1"/>
    <col min="6138" max="6138" width="4.5" style="4" customWidth="1"/>
    <col min="6139" max="6140" width="9" style="4" customWidth="1"/>
    <col min="6141" max="6141" width="28.6640625" style="4" customWidth="1"/>
    <col min="6142" max="6143" width="8.5" style="4" customWidth="1"/>
    <col min="6144" max="6144" width="10.33203125" style="4" customWidth="1"/>
    <col min="6145" max="6145" width="10.1640625" style="4" customWidth="1"/>
    <col min="6146" max="6146" width="10.6640625" style="4" customWidth="1"/>
    <col min="6147" max="6147" width="11.5" style="4"/>
    <col min="6148" max="6148" width="9.6640625" style="4" customWidth="1"/>
    <col min="6149" max="6149" width="11.33203125" style="4" customWidth="1"/>
    <col min="6150" max="6150" width="10.33203125" style="4" customWidth="1"/>
    <col min="6151" max="6151" width="10" style="4" customWidth="1"/>
    <col min="6152" max="6152" width="9.6640625" style="4" customWidth="1"/>
    <col min="6153" max="6154" width="10.1640625" style="4" customWidth="1"/>
    <col min="6155" max="6155" width="22" style="4" customWidth="1"/>
    <col min="6156" max="6382" width="11.5" style="4"/>
    <col min="6383" max="6383" width="7" style="4" customWidth="1"/>
    <col min="6384" max="6384" width="29.5" style="4" customWidth="1"/>
    <col min="6385" max="6385" width="6.83203125" style="4" customWidth="1"/>
    <col min="6386" max="6386" width="7.5" style="4" customWidth="1"/>
    <col min="6387" max="6387" width="9.33203125" style="4" customWidth="1"/>
    <col min="6388" max="6388" width="10" style="4" customWidth="1"/>
    <col min="6389" max="6389" width="9" style="4" customWidth="1"/>
    <col min="6390" max="6391" width="7" style="4" customWidth="1"/>
    <col min="6392" max="6392" width="11.1640625" style="4" customWidth="1"/>
    <col min="6393" max="6393" width="9" style="4" customWidth="1"/>
    <col min="6394" max="6394" width="4.5" style="4" customWidth="1"/>
    <col min="6395" max="6396" width="9" style="4" customWidth="1"/>
    <col min="6397" max="6397" width="28.6640625" style="4" customWidth="1"/>
    <col min="6398" max="6399" width="8.5" style="4" customWidth="1"/>
    <col min="6400" max="6400" width="10.33203125" style="4" customWidth="1"/>
    <col min="6401" max="6401" width="10.1640625" style="4" customWidth="1"/>
    <col min="6402" max="6402" width="10.6640625" style="4" customWidth="1"/>
    <col min="6403" max="6403" width="11.5" style="4"/>
    <col min="6404" max="6404" width="9.6640625" style="4" customWidth="1"/>
    <col min="6405" max="6405" width="11.33203125" style="4" customWidth="1"/>
    <col min="6406" max="6406" width="10.33203125" style="4" customWidth="1"/>
    <col min="6407" max="6407" width="10" style="4" customWidth="1"/>
    <col min="6408" max="6408" width="9.6640625" style="4" customWidth="1"/>
    <col min="6409" max="6410" width="10.1640625" style="4" customWidth="1"/>
    <col min="6411" max="6411" width="22" style="4" customWidth="1"/>
    <col min="6412" max="6638" width="11.5" style="4"/>
    <col min="6639" max="6639" width="7" style="4" customWidth="1"/>
    <col min="6640" max="6640" width="29.5" style="4" customWidth="1"/>
    <col min="6641" max="6641" width="6.83203125" style="4" customWidth="1"/>
    <col min="6642" max="6642" width="7.5" style="4" customWidth="1"/>
    <col min="6643" max="6643" width="9.33203125" style="4" customWidth="1"/>
    <col min="6644" max="6644" width="10" style="4" customWidth="1"/>
    <col min="6645" max="6645" width="9" style="4" customWidth="1"/>
    <col min="6646" max="6647" width="7" style="4" customWidth="1"/>
    <col min="6648" max="6648" width="11.1640625" style="4" customWidth="1"/>
    <col min="6649" max="6649" width="9" style="4" customWidth="1"/>
    <col min="6650" max="6650" width="4.5" style="4" customWidth="1"/>
    <col min="6651" max="6652" width="9" style="4" customWidth="1"/>
    <col min="6653" max="6653" width="28.6640625" style="4" customWidth="1"/>
    <col min="6654" max="6655" width="8.5" style="4" customWidth="1"/>
    <col min="6656" max="6656" width="10.33203125" style="4" customWidth="1"/>
    <col min="6657" max="6657" width="10.1640625" style="4" customWidth="1"/>
    <col min="6658" max="6658" width="10.6640625" style="4" customWidth="1"/>
    <col min="6659" max="6659" width="11.5" style="4"/>
    <col min="6660" max="6660" width="9.6640625" style="4" customWidth="1"/>
    <col min="6661" max="6661" width="11.33203125" style="4" customWidth="1"/>
    <col min="6662" max="6662" width="10.33203125" style="4" customWidth="1"/>
    <col min="6663" max="6663" width="10" style="4" customWidth="1"/>
    <col min="6664" max="6664" width="9.6640625" style="4" customWidth="1"/>
    <col min="6665" max="6666" width="10.1640625" style="4" customWidth="1"/>
    <col min="6667" max="6667" width="22" style="4" customWidth="1"/>
    <col min="6668" max="6894" width="11.5" style="4"/>
    <col min="6895" max="6895" width="7" style="4" customWidth="1"/>
    <col min="6896" max="6896" width="29.5" style="4" customWidth="1"/>
    <col min="6897" max="6897" width="6.83203125" style="4" customWidth="1"/>
    <col min="6898" max="6898" width="7.5" style="4" customWidth="1"/>
    <col min="6899" max="6899" width="9.33203125" style="4" customWidth="1"/>
    <col min="6900" max="6900" width="10" style="4" customWidth="1"/>
    <col min="6901" max="6901" width="9" style="4" customWidth="1"/>
    <col min="6902" max="6903" width="7" style="4" customWidth="1"/>
    <col min="6904" max="6904" width="11.1640625" style="4" customWidth="1"/>
    <col min="6905" max="6905" width="9" style="4" customWidth="1"/>
    <col min="6906" max="6906" width="4.5" style="4" customWidth="1"/>
    <col min="6907" max="6908" width="9" style="4" customWidth="1"/>
    <col min="6909" max="6909" width="28.6640625" style="4" customWidth="1"/>
    <col min="6910" max="6911" width="8.5" style="4" customWidth="1"/>
    <col min="6912" max="6912" width="10.33203125" style="4" customWidth="1"/>
    <col min="6913" max="6913" width="10.1640625" style="4" customWidth="1"/>
    <col min="6914" max="6914" width="10.6640625" style="4" customWidth="1"/>
    <col min="6915" max="6915" width="11.5" style="4"/>
    <col min="6916" max="6916" width="9.6640625" style="4" customWidth="1"/>
    <col min="6917" max="6917" width="11.33203125" style="4" customWidth="1"/>
    <col min="6918" max="6918" width="10.33203125" style="4" customWidth="1"/>
    <col min="6919" max="6919" width="10" style="4" customWidth="1"/>
    <col min="6920" max="6920" width="9.6640625" style="4" customWidth="1"/>
    <col min="6921" max="6922" width="10.1640625" style="4" customWidth="1"/>
    <col min="6923" max="6923" width="22" style="4" customWidth="1"/>
    <col min="6924" max="7150" width="11.5" style="4"/>
    <col min="7151" max="7151" width="7" style="4" customWidth="1"/>
    <col min="7152" max="7152" width="29.5" style="4" customWidth="1"/>
    <col min="7153" max="7153" width="6.83203125" style="4" customWidth="1"/>
    <col min="7154" max="7154" width="7.5" style="4" customWidth="1"/>
    <col min="7155" max="7155" width="9.33203125" style="4" customWidth="1"/>
    <col min="7156" max="7156" width="10" style="4" customWidth="1"/>
    <col min="7157" max="7157" width="9" style="4" customWidth="1"/>
    <col min="7158" max="7159" width="7" style="4" customWidth="1"/>
    <col min="7160" max="7160" width="11.1640625" style="4" customWidth="1"/>
    <col min="7161" max="7161" width="9" style="4" customWidth="1"/>
    <col min="7162" max="7162" width="4.5" style="4" customWidth="1"/>
    <col min="7163" max="7164" width="9" style="4" customWidth="1"/>
    <col min="7165" max="7165" width="28.6640625" style="4" customWidth="1"/>
    <col min="7166" max="7167" width="8.5" style="4" customWidth="1"/>
    <col min="7168" max="7168" width="10.33203125" style="4" customWidth="1"/>
    <col min="7169" max="7169" width="10.1640625" style="4" customWidth="1"/>
    <col min="7170" max="7170" width="10.6640625" style="4" customWidth="1"/>
    <col min="7171" max="7171" width="11.5" style="4"/>
    <col min="7172" max="7172" width="9.6640625" style="4" customWidth="1"/>
    <col min="7173" max="7173" width="11.33203125" style="4" customWidth="1"/>
    <col min="7174" max="7174" width="10.33203125" style="4" customWidth="1"/>
    <col min="7175" max="7175" width="10" style="4" customWidth="1"/>
    <col min="7176" max="7176" width="9.6640625" style="4" customWidth="1"/>
    <col min="7177" max="7178" width="10.1640625" style="4" customWidth="1"/>
    <col min="7179" max="7179" width="22" style="4" customWidth="1"/>
    <col min="7180" max="7406" width="11.5" style="4"/>
    <col min="7407" max="7407" width="7" style="4" customWidth="1"/>
    <col min="7408" max="7408" width="29.5" style="4" customWidth="1"/>
    <col min="7409" max="7409" width="6.83203125" style="4" customWidth="1"/>
    <col min="7410" max="7410" width="7.5" style="4" customWidth="1"/>
    <col min="7411" max="7411" width="9.33203125" style="4" customWidth="1"/>
    <col min="7412" max="7412" width="10" style="4" customWidth="1"/>
    <col min="7413" max="7413" width="9" style="4" customWidth="1"/>
    <col min="7414" max="7415" width="7" style="4" customWidth="1"/>
    <col min="7416" max="7416" width="11.1640625" style="4" customWidth="1"/>
    <col min="7417" max="7417" width="9" style="4" customWidth="1"/>
    <col min="7418" max="7418" width="4.5" style="4" customWidth="1"/>
    <col min="7419" max="7420" width="9" style="4" customWidth="1"/>
    <col min="7421" max="7421" width="28.6640625" style="4" customWidth="1"/>
    <col min="7422" max="7423" width="8.5" style="4" customWidth="1"/>
    <col min="7424" max="7424" width="10.33203125" style="4" customWidth="1"/>
    <col min="7425" max="7425" width="10.1640625" style="4" customWidth="1"/>
    <col min="7426" max="7426" width="10.6640625" style="4" customWidth="1"/>
    <col min="7427" max="7427" width="11.5" style="4"/>
    <col min="7428" max="7428" width="9.6640625" style="4" customWidth="1"/>
    <col min="7429" max="7429" width="11.33203125" style="4" customWidth="1"/>
    <col min="7430" max="7430" width="10.33203125" style="4" customWidth="1"/>
    <col min="7431" max="7431" width="10" style="4" customWidth="1"/>
    <col min="7432" max="7432" width="9.6640625" style="4" customWidth="1"/>
    <col min="7433" max="7434" width="10.1640625" style="4" customWidth="1"/>
    <col min="7435" max="7435" width="22" style="4" customWidth="1"/>
    <col min="7436" max="7662" width="11.5" style="4"/>
    <col min="7663" max="7663" width="7" style="4" customWidth="1"/>
    <col min="7664" max="7664" width="29.5" style="4" customWidth="1"/>
    <col min="7665" max="7665" width="6.83203125" style="4" customWidth="1"/>
    <col min="7666" max="7666" width="7.5" style="4" customWidth="1"/>
    <col min="7667" max="7667" width="9.33203125" style="4" customWidth="1"/>
    <col min="7668" max="7668" width="10" style="4" customWidth="1"/>
    <col min="7669" max="7669" width="9" style="4" customWidth="1"/>
    <col min="7670" max="7671" width="7" style="4" customWidth="1"/>
    <col min="7672" max="7672" width="11.1640625" style="4" customWidth="1"/>
    <col min="7673" max="7673" width="9" style="4" customWidth="1"/>
    <col min="7674" max="7674" width="4.5" style="4" customWidth="1"/>
    <col min="7675" max="7676" width="9" style="4" customWidth="1"/>
    <col min="7677" max="7677" width="28.6640625" style="4" customWidth="1"/>
    <col min="7678" max="7679" width="8.5" style="4" customWidth="1"/>
    <col min="7680" max="7680" width="10.33203125" style="4" customWidth="1"/>
    <col min="7681" max="7681" width="10.1640625" style="4" customWidth="1"/>
    <col min="7682" max="7682" width="10.6640625" style="4" customWidth="1"/>
    <col min="7683" max="7683" width="11.5" style="4"/>
    <col min="7684" max="7684" width="9.6640625" style="4" customWidth="1"/>
    <col min="7685" max="7685" width="11.33203125" style="4" customWidth="1"/>
    <col min="7686" max="7686" width="10.33203125" style="4" customWidth="1"/>
    <col min="7687" max="7687" width="10" style="4" customWidth="1"/>
    <col min="7688" max="7688" width="9.6640625" style="4" customWidth="1"/>
    <col min="7689" max="7690" width="10.1640625" style="4" customWidth="1"/>
    <col min="7691" max="7691" width="22" style="4" customWidth="1"/>
    <col min="7692" max="7918" width="11.5" style="4"/>
    <col min="7919" max="7919" width="7" style="4" customWidth="1"/>
    <col min="7920" max="7920" width="29.5" style="4" customWidth="1"/>
    <col min="7921" max="7921" width="6.83203125" style="4" customWidth="1"/>
    <col min="7922" max="7922" width="7.5" style="4" customWidth="1"/>
    <col min="7923" max="7923" width="9.33203125" style="4" customWidth="1"/>
    <col min="7924" max="7924" width="10" style="4" customWidth="1"/>
    <col min="7925" max="7925" width="9" style="4" customWidth="1"/>
    <col min="7926" max="7927" width="7" style="4" customWidth="1"/>
    <col min="7928" max="7928" width="11.1640625" style="4" customWidth="1"/>
    <col min="7929" max="7929" width="9" style="4" customWidth="1"/>
    <col min="7930" max="7930" width="4.5" style="4" customWidth="1"/>
    <col min="7931" max="7932" width="9" style="4" customWidth="1"/>
    <col min="7933" max="7933" width="28.6640625" style="4" customWidth="1"/>
    <col min="7934" max="7935" width="8.5" style="4" customWidth="1"/>
    <col min="7936" max="7936" width="10.33203125" style="4" customWidth="1"/>
    <col min="7937" max="7937" width="10.1640625" style="4" customWidth="1"/>
    <col min="7938" max="7938" width="10.6640625" style="4" customWidth="1"/>
    <col min="7939" max="7939" width="11.5" style="4"/>
    <col min="7940" max="7940" width="9.6640625" style="4" customWidth="1"/>
    <col min="7941" max="7941" width="11.33203125" style="4" customWidth="1"/>
    <col min="7942" max="7942" width="10.33203125" style="4" customWidth="1"/>
    <col min="7943" max="7943" width="10" style="4" customWidth="1"/>
    <col min="7944" max="7944" width="9.6640625" style="4" customWidth="1"/>
    <col min="7945" max="7946" width="10.1640625" style="4" customWidth="1"/>
    <col min="7947" max="7947" width="22" style="4" customWidth="1"/>
    <col min="7948" max="8174" width="11.5" style="4"/>
    <col min="8175" max="8175" width="7" style="4" customWidth="1"/>
    <col min="8176" max="8176" width="29.5" style="4" customWidth="1"/>
    <col min="8177" max="8177" width="6.83203125" style="4" customWidth="1"/>
    <col min="8178" max="8178" width="7.5" style="4" customWidth="1"/>
    <col min="8179" max="8179" width="9.33203125" style="4" customWidth="1"/>
    <col min="8180" max="8180" width="10" style="4" customWidth="1"/>
    <col min="8181" max="8181" width="9" style="4" customWidth="1"/>
    <col min="8182" max="8183" width="7" style="4" customWidth="1"/>
    <col min="8184" max="8184" width="11.1640625" style="4" customWidth="1"/>
    <col min="8185" max="8185" width="9" style="4" customWidth="1"/>
    <col min="8186" max="8186" width="4.5" style="4" customWidth="1"/>
    <col min="8187" max="8188" width="9" style="4" customWidth="1"/>
    <col min="8189" max="8189" width="28.6640625" style="4" customWidth="1"/>
    <col min="8190" max="8191" width="8.5" style="4" customWidth="1"/>
    <col min="8192" max="8192" width="10.33203125" style="4" customWidth="1"/>
    <col min="8193" max="8193" width="10.1640625" style="4" customWidth="1"/>
    <col min="8194" max="8194" width="10.6640625" style="4" customWidth="1"/>
    <col min="8195" max="8195" width="11.5" style="4"/>
    <col min="8196" max="8196" width="9.6640625" style="4" customWidth="1"/>
    <col min="8197" max="8197" width="11.33203125" style="4" customWidth="1"/>
    <col min="8198" max="8198" width="10.33203125" style="4" customWidth="1"/>
    <col min="8199" max="8199" width="10" style="4" customWidth="1"/>
    <col min="8200" max="8200" width="9.6640625" style="4" customWidth="1"/>
    <col min="8201" max="8202" width="10.1640625" style="4" customWidth="1"/>
    <col min="8203" max="8203" width="22" style="4" customWidth="1"/>
    <col min="8204" max="8430" width="11.5" style="4"/>
    <col min="8431" max="8431" width="7" style="4" customWidth="1"/>
    <col min="8432" max="8432" width="29.5" style="4" customWidth="1"/>
    <col min="8433" max="8433" width="6.83203125" style="4" customWidth="1"/>
    <col min="8434" max="8434" width="7.5" style="4" customWidth="1"/>
    <col min="8435" max="8435" width="9.33203125" style="4" customWidth="1"/>
    <col min="8436" max="8436" width="10" style="4" customWidth="1"/>
    <col min="8437" max="8437" width="9" style="4" customWidth="1"/>
    <col min="8438" max="8439" width="7" style="4" customWidth="1"/>
    <col min="8440" max="8440" width="11.1640625" style="4" customWidth="1"/>
    <col min="8441" max="8441" width="9" style="4" customWidth="1"/>
    <col min="8442" max="8442" width="4.5" style="4" customWidth="1"/>
    <col min="8443" max="8444" width="9" style="4" customWidth="1"/>
    <col min="8445" max="8445" width="28.6640625" style="4" customWidth="1"/>
    <col min="8446" max="8447" width="8.5" style="4" customWidth="1"/>
    <col min="8448" max="8448" width="10.33203125" style="4" customWidth="1"/>
    <col min="8449" max="8449" width="10.1640625" style="4" customWidth="1"/>
    <col min="8450" max="8450" width="10.6640625" style="4" customWidth="1"/>
    <col min="8451" max="8451" width="11.5" style="4"/>
    <col min="8452" max="8452" width="9.6640625" style="4" customWidth="1"/>
    <col min="8453" max="8453" width="11.33203125" style="4" customWidth="1"/>
    <col min="8454" max="8454" width="10.33203125" style="4" customWidth="1"/>
    <col min="8455" max="8455" width="10" style="4" customWidth="1"/>
    <col min="8456" max="8456" width="9.6640625" style="4" customWidth="1"/>
    <col min="8457" max="8458" width="10.1640625" style="4" customWidth="1"/>
    <col min="8459" max="8459" width="22" style="4" customWidth="1"/>
    <col min="8460" max="8686" width="11.5" style="4"/>
    <col min="8687" max="8687" width="7" style="4" customWidth="1"/>
    <col min="8688" max="8688" width="29.5" style="4" customWidth="1"/>
    <col min="8689" max="8689" width="6.83203125" style="4" customWidth="1"/>
    <col min="8690" max="8690" width="7.5" style="4" customWidth="1"/>
    <col min="8691" max="8691" width="9.33203125" style="4" customWidth="1"/>
    <col min="8692" max="8692" width="10" style="4" customWidth="1"/>
    <col min="8693" max="8693" width="9" style="4" customWidth="1"/>
    <col min="8694" max="8695" width="7" style="4" customWidth="1"/>
    <col min="8696" max="8696" width="11.1640625" style="4" customWidth="1"/>
    <col min="8697" max="8697" width="9" style="4" customWidth="1"/>
    <col min="8698" max="8698" width="4.5" style="4" customWidth="1"/>
    <col min="8699" max="8700" width="9" style="4" customWidth="1"/>
    <col min="8701" max="8701" width="28.6640625" style="4" customWidth="1"/>
    <col min="8702" max="8703" width="8.5" style="4" customWidth="1"/>
    <col min="8704" max="8704" width="10.33203125" style="4" customWidth="1"/>
    <col min="8705" max="8705" width="10.1640625" style="4" customWidth="1"/>
    <col min="8706" max="8706" width="10.6640625" style="4" customWidth="1"/>
    <col min="8707" max="8707" width="11.5" style="4"/>
    <col min="8708" max="8708" width="9.6640625" style="4" customWidth="1"/>
    <col min="8709" max="8709" width="11.33203125" style="4" customWidth="1"/>
    <col min="8710" max="8710" width="10.33203125" style="4" customWidth="1"/>
    <col min="8711" max="8711" width="10" style="4" customWidth="1"/>
    <col min="8712" max="8712" width="9.6640625" style="4" customWidth="1"/>
    <col min="8713" max="8714" width="10.1640625" style="4" customWidth="1"/>
    <col min="8715" max="8715" width="22" style="4" customWidth="1"/>
    <col min="8716" max="8942" width="11.5" style="4"/>
    <col min="8943" max="8943" width="7" style="4" customWidth="1"/>
    <col min="8944" max="8944" width="29.5" style="4" customWidth="1"/>
    <col min="8945" max="8945" width="6.83203125" style="4" customWidth="1"/>
    <col min="8946" max="8946" width="7.5" style="4" customWidth="1"/>
    <col min="8947" max="8947" width="9.33203125" style="4" customWidth="1"/>
    <col min="8948" max="8948" width="10" style="4" customWidth="1"/>
    <col min="8949" max="8949" width="9" style="4" customWidth="1"/>
    <col min="8950" max="8951" width="7" style="4" customWidth="1"/>
    <col min="8952" max="8952" width="11.1640625" style="4" customWidth="1"/>
    <col min="8953" max="8953" width="9" style="4" customWidth="1"/>
    <col min="8954" max="8954" width="4.5" style="4" customWidth="1"/>
    <col min="8955" max="8956" width="9" style="4" customWidth="1"/>
    <col min="8957" max="8957" width="28.6640625" style="4" customWidth="1"/>
    <col min="8958" max="8959" width="8.5" style="4" customWidth="1"/>
    <col min="8960" max="8960" width="10.33203125" style="4" customWidth="1"/>
    <col min="8961" max="8961" width="10.1640625" style="4" customWidth="1"/>
    <col min="8962" max="8962" width="10.6640625" style="4" customWidth="1"/>
    <col min="8963" max="8963" width="11.5" style="4"/>
    <col min="8964" max="8964" width="9.6640625" style="4" customWidth="1"/>
    <col min="8965" max="8965" width="11.33203125" style="4" customWidth="1"/>
    <col min="8966" max="8966" width="10.33203125" style="4" customWidth="1"/>
    <col min="8967" max="8967" width="10" style="4" customWidth="1"/>
    <col min="8968" max="8968" width="9.6640625" style="4" customWidth="1"/>
    <col min="8969" max="8970" width="10.1640625" style="4" customWidth="1"/>
    <col min="8971" max="8971" width="22" style="4" customWidth="1"/>
    <col min="8972" max="9198" width="11.5" style="4"/>
    <col min="9199" max="9199" width="7" style="4" customWidth="1"/>
    <col min="9200" max="9200" width="29.5" style="4" customWidth="1"/>
    <col min="9201" max="9201" width="6.83203125" style="4" customWidth="1"/>
    <col min="9202" max="9202" width="7.5" style="4" customWidth="1"/>
    <col min="9203" max="9203" width="9.33203125" style="4" customWidth="1"/>
    <col min="9204" max="9204" width="10" style="4" customWidth="1"/>
    <col min="9205" max="9205" width="9" style="4" customWidth="1"/>
    <col min="9206" max="9207" width="7" style="4" customWidth="1"/>
    <col min="9208" max="9208" width="11.1640625" style="4" customWidth="1"/>
    <col min="9209" max="9209" width="9" style="4" customWidth="1"/>
    <col min="9210" max="9210" width="4.5" style="4" customWidth="1"/>
    <col min="9211" max="9212" width="9" style="4" customWidth="1"/>
    <col min="9213" max="9213" width="28.6640625" style="4" customWidth="1"/>
    <col min="9214" max="9215" width="8.5" style="4" customWidth="1"/>
    <col min="9216" max="9216" width="10.33203125" style="4" customWidth="1"/>
    <col min="9217" max="9217" width="10.1640625" style="4" customWidth="1"/>
    <col min="9218" max="9218" width="10.6640625" style="4" customWidth="1"/>
    <col min="9219" max="9219" width="11.5" style="4"/>
    <col min="9220" max="9220" width="9.6640625" style="4" customWidth="1"/>
    <col min="9221" max="9221" width="11.33203125" style="4" customWidth="1"/>
    <col min="9222" max="9222" width="10.33203125" style="4" customWidth="1"/>
    <col min="9223" max="9223" width="10" style="4" customWidth="1"/>
    <col min="9224" max="9224" width="9.6640625" style="4" customWidth="1"/>
    <col min="9225" max="9226" width="10.1640625" style="4" customWidth="1"/>
    <col min="9227" max="9227" width="22" style="4" customWidth="1"/>
    <col min="9228" max="9454" width="11.5" style="4"/>
    <col min="9455" max="9455" width="7" style="4" customWidth="1"/>
    <col min="9456" max="9456" width="29.5" style="4" customWidth="1"/>
    <col min="9457" max="9457" width="6.83203125" style="4" customWidth="1"/>
    <col min="9458" max="9458" width="7.5" style="4" customWidth="1"/>
    <col min="9459" max="9459" width="9.33203125" style="4" customWidth="1"/>
    <col min="9460" max="9460" width="10" style="4" customWidth="1"/>
    <col min="9461" max="9461" width="9" style="4" customWidth="1"/>
    <col min="9462" max="9463" width="7" style="4" customWidth="1"/>
    <col min="9464" max="9464" width="11.1640625" style="4" customWidth="1"/>
    <col min="9465" max="9465" width="9" style="4" customWidth="1"/>
    <col min="9466" max="9466" width="4.5" style="4" customWidth="1"/>
    <col min="9467" max="9468" width="9" style="4" customWidth="1"/>
    <col min="9469" max="9469" width="28.6640625" style="4" customWidth="1"/>
    <col min="9470" max="9471" width="8.5" style="4" customWidth="1"/>
    <col min="9472" max="9472" width="10.33203125" style="4" customWidth="1"/>
    <col min="9473" max="9473" width="10.1640625" style="4" customWidth="1"/>
    <col min="9474" max="9474" width="10.6640625" style="4" customWidth="1"/>
    <col min="9475" max="9475" width="11.5" style="4"/>
    <col min="9476" max="9476" width="9.6640625" style="4" customWidth="1"/>
    <col min="9477" max="9477" width="11.33203125" style="4" customWidth="1"/>
    <col min="9478" max="9478" width="10.33203125" style="4" customWidth="1"/>
    <col min="9479" max="9479" width="10" style="4" customWidth="1"/>
    <col min="9480" max="9480" width="9.6640625" style="4" customWidth="1"/>
    <col min="9481" max="9482" width="10.1640625" style="4" customWidth="1"/>
    <col min="9483" max="9483" width="22" style="4" customWidth="1"/>
    <col min="9484" max="9710" width="11.5" style="4"/>
    <col min="9711" max="9711" width="7" style="4" customWidth="1"/>
    <col min="9712" max="9712" width="29.5" style="4" customWidth="1"/>
    <col min="9713" max="9713" width="6.83203125" style="4" customWidth="1"/>
    <col min="9714" max="9714" width="7.5" style="4" customWidth="1"/>
    <col min="9715" max="9715" width="9.33203125" style="4" customWidth="1"/>
    <col min="9716" max="9716" width="10" style="4" customWidth="1"/>
    <col min="9717" max="9717" width="9" style="4" customWidth="1"/>
    <col min="9718" max="9719" width="7" style="4" customWidth="1"/>
    <col min="9720" max="9720" width="11.1640625" style="4" customWidth="1"/>
    <col min="9721" max="9721" width="9" style="4" customWidth="1"/>
    <col min="9722" max="9722" width="4.5" style="4" customWidth="1"/>
    <col min="9723" max="9724" width="9" style="4" customWidth="1"/>
    <col min="9725" max="9725" width="28.6640625" style="4" customWidth="1"/>
    <col min="9726" max="9727" width="8.5" style="4" customWidth="1"/>
    <col min="9728" max="9728" width="10.33203125" style="4" customWidth="1"/>
    <col min="9729" max="9729" width="10.1640625" style="4" customWidth="1"/>
    <col min="9730" max="9730" width="10.6640625" style="4" customWidth="1"/>
    <col min="9731" max="9731" width="11.5" style="4"/>
    <col min="9732" max="9732" width="9.6640625" style="4" customWidth="1"/>
    <col min="9733" max="9733" width="11.33203125" style="4" customWidth="1"/>
    <col min="9734" max="9734" width="10.33203125" style="4" customWidth="1"/>
    <col min="9735" max="9735" width="10" style="4" customWidth="1"/>
    <col min="9736" max="9736" width="9.6640625" style="4" customWidth="1"/>
    <col min="9737" max="9738" width="10.1640625" style="4" customWidth="1"/>
    <col min="9739" max="9739" width="22" style="4" customWidth="1"/>
    <col min="9740" max="9966" width="11.5" style="4"/>
    <col min="9967" max="9967" width="7" style="4" customWidth="1"/>
    <col min="9968" max="9968" width="29.5" style="4" customWidth="1"/>
    <col min="9969" max="9969" width="6.83203125" style="4" customWidth="1"/>
    <col min="9970" max="9970" width="7.5" style="4" customWidth="1"/>
    <col min="9971" max="9971" width="9.33203125" style="4" customWidth="1"/>
    <col min="9972" max="9972" width="10" style="4" customWidth="1"/>
    <col min="9973" max="9973" width="9" style="4" customWidth="1"/>
    <col min="9974" max="9975" width="7" style="4" customWidth="1"/>
    <col min="9976" max="9976" width="11.1640625" style="4" customWidth="1"/>
    <col min="9977" max="9977" width="9" style="4" customWidth="1"/>
    <col min="9978" max="9978" width="4.5" style="4" customWidth="1"/>
    <col min="9979" max="9980" width="9" style="4" customWidth="1"/>
    <col min="9981" max="9981" width="28.6640625" style="4" customWidth="1"/>
    <col min="9982" max="9983" width="8.5" style="4" customWidth="1"/>
    <col min="9984" max="9984" width="10.33203125" style="4" customWidth="1"/>
    <col min="9985" max="9985" width="10.1640625" style="4" customWidth="1"/>
    <col min="9986" max="9986" width="10.6640625" style="4" customWidth="1"/>
    <col min="9987" max="9987" width="11.5" style="4"/>
    <col min="9988" max="9988" width="9.6640625" style="4" customWidth="1"/>
    <col min="9989" max="9989" width="11.33203125" style="4" customWidth="1"/>
    <col min="9990" max="9990" width="10.33203125" style="4" customWidth="1"/>
    <col min="9991" max="9991" width="10" style="4" customWidth="1"/>
    <col min="9992" max="9992" width="9.6640625" style="4" customWidth="1"/>
    <col min="9993" max="9994" width="10.1640625" style="4" customWidth="1"/>
    <col min="9995" max="9995" width="22" style="4" customWidth="1"/>
    <col min="9996" max="10222" width="11.5" style="4"/>
    <col min="10223" max="10223" width="7" style="4" customWidth="1"/>
    <col min="10224" max="10224" width="29.5" style="4" customWidth="1"/>
    <col min="10225" max="10225" width="6.83203125" style="4" customWidth="1"/>
    <col min="10226" max="10226" width="7.5" style="4" customWidth="1"/>
    <col min="10227" max="10227" width="9.33203125" style="4" customWidth="1"/>
    <col min="10228" max="10228" width="10" style="4" customWidth="1"/>
    <col min="10229" max="10229" width="9" style="4" customWidth="1"/>
    <col min="10230" max="10231" width="7" style="4" customWidth="1"/>
    <col min="10232" max="10232" width="11.1640625" style="4" customWidth="1"/>
    <col min="10233" max="10233" width="9" style="4" customWidth="1"/>
    <col min="10234" max="10234" width="4.5" style="4" customWidth="1"/>
    <col min="10235" max="10236" width="9" style="4" customWidth="1"/>
    <col min="10237" max="10237" width="28.6640625" style="4" customWidth="1"/>
    <col min="10238" max="10239" width="8.5" style="4" customWidth="1"/>
    <col min="10240" max="10240" width="10.33203125" style="4" customWidth="1"/>
    <col min="10241" max="10241" width="10.1640625" style="4" customWidth="1"/>
    <col min="10242" max="10242" width="10.6640625" style="4" customWidth="1"/>
    <col min="10243" max="10243" width="11.5" style="4"/>
    <col min="10244" max="10244" width="9.6640625" style="4" customWidth="1"/>
    <col min="10245" max="10245" width="11.33203125" style="4" customWidth="1"/>
    <col min="10246" max="10246" width="10.33203125" style="4" customWidth="1"/>
    <col min="10247" max="10247" width="10" style="4" customWidth="1"/>
    <col min="10248" max="10248" width="9.6640625" style="4" customWidth="1"/>
    <col min="10249" max="10250" width="10.1640625" style="4" customWidth="1"/>
    <col min="10251" max="10251" width="22" style="4" customWidth="1"/>
    <col min="10252" max="10478" width="11.5" style="4"/>
    <col min="10479" max="10479" width="7" style="4" customWidth="1"/>
    <col min="10480" max="10480" width="29.5" style="4" customWidth="1"/>
    <col min="10481" max="10481" width="6.83203125" style="4" customWidth="1"/>
    <col min="10482" max="10482" width="7.5" style="4" customWidth="1"/>
    <col min="10483" max="10483" width="9.33203125" style="4" customWidth="1"/>
    <col min="10484" max="10484" width="10" style="4" customWidth="1"/>
    <col min="10485" max="10485" width="9" style="4" customWidth="1"/>
    <col min="10486" max="10487" width="7" style="4" customWidth="1"/>
    <col min="10488" max="10488" width="11.1640625" style="4" customWidth="1"/>
    <col min="10489" max="10489" width="9" style="4" customWidth="1"/>
    <col min="10490" max="10490" width="4.5" style="4" customWidth="1"/>
    <col min="10491" max="10492" width="9" style="4" customWidth="1"/>
    <col min="10493" max="10493" width="28.6640625" style="4" customWidth="1"/>
    <col min="10494" max="10495" width="8.5" style="4" customWidth="1"/>
    <col min="10496" max="10496" width="10.33203125" style="4" customWidth="1"/>
    <col min="10497" max="10497" width="10.1640625" style="4" customWidth="1"/>
    <col min="10498" max="10498" width="10.6640625" style="4" customWidth="1"/>
    <col min="10499" max="10499" width="11.5" style="4"/>
    <col min="10500" max="10500" width="9.6640625" style="4" customWidth="1"/>
    <col min="10501" max="10501" width="11.33203125" style="4" customWidth="1"/>
    <col min="10502" max="10502" width="10.33203125" style="4" customWidth="1"/>
    <col min="10503" max="10503" width="10" style="4" customWidth="1"/>
    <col min="10504" max="10504" width="9.6640625" style="4" customWidth="1"/>
    <col min="10505" max="10506" width="10.1640625" style="4" customWidth="1"/>
    <col min="10507" max="10507" width="22" style="4" customWidth="1"/>
    <col min="10508" max="10734" width="11.5" style="4"/>
    <col min="10735" max="10735" width="7" style="4" customWidth="1"/>
    <col min="10736" max="10736" width="29.5" style="4" customWidth="1"/>
    <col min="10737" max="10737" width="6.83203125" style="4" customWidth="1"/>
    <col min="10738" max="10738" width="7.5" style="4" customWidth="1"/>
    <col min="10739" max="10739" width="9.33203125" style="4" customWidth="1"/>
    <col min="10740" max="10740" width="10" style="4" customWidth="1"/>
    <col min="10741" max="10741" width="9" style="4" customWidth="1"/>
    <col min="10742" max="10743" width="7" style="4" customWidth="1"/>
    <col min="10744" max="10744" width="11.1640625" style="4" customWidth="1"/>
    <col min="10745" max="10745" width="9" style="4" customWidth="1"/>
    <col min="10746" max="10746" width="4.5" style="4" customWidth="1"/>
    <col min="10747" max="10748" width="9" style="4" customWidth="1"/>
    <col min="10749" max="10749" width="28.6640625" style="4" customWidth="1"/>
    <col min="10750" max="10751" width="8.5" style="4" customWidth="1"/>
    <col min="10752" max="10752" width="10.33203125" style="4" customWidth="1"/>
    <col min="10753" max="10753" width="10.1640625" style="4" customWidth="1"/>
    <col min="10754" max="10754" width="10.6640625" style="4" customWidth="1"/>
    <col min="10755" max="10755" width="11.5" style="4"/>
    <col min="10756" max="10756" width="9.6640625" style="4" customWidth="1"/>
    <col min="10757" max="10757" width="11.33203125" style="4" customWidth="1"/>
    <col min="10758" max="10758" width="10.33203125" style="4" customWidth="1"/>
    <col min="10759" max="10759" width="10" style="4" customWidth="1"/>
    <col min="10760" max="10760" width="9.6640625" style="4" customWidth="1"/>
    <col min="10761" max="10762" width="10.1640625" style="4" customWidth="1"/>
    <col min="10763" max="10763" width="22" style="4" customWidth="1"/>
    <col min="10764" max="10990" width="11.5" style="4"/>
    <col min="10991" max="10991" width="7" style="4" customWidth="1"/>
    <col min="10992" max="10992" width="29.5" style="4" customWidth="1"/>
    <col min="10993" max="10993" width="6.83203125" style="4" customWidth="1"/>
    <col min="10994" max="10994" width="7.5" style="4" customWidth="1"/>
    <col min="10995" max="10995" width="9.33203125" style="4" customWidth="1"/>
    <col min="10996" max="10996" width="10" style="4" customWidth="1"/>
    <col min="10997" max="10997" width="9" style="4" customWidth="1"/>
    <col min="10998" max="10999" width="7" style="4" customWidth="1"/>
    <col min="11000" max="11000" width="11.1640625" style="4" customWidth="1"/>
    <col min="11001" max="11001" width="9" style="4" customWidth="1"/>
    <col min="11002" max="11002" width="4.5" style="4" customWidth="1"/>
    <col min="11003" max="11004" width="9" style="4" customWidth="1"/>
    <col min="11005" max="11005" width="28.6640625" style="4" customWidth="1"/>
    <col min="11006" max="11007" width="8.5" style="4" customWidth="1"/>
    <col min="11008" max="11008" width="10.33203125" style="4" customWidth="1"/>
    <col min="11009" max="11009" width="10.1640625" style="4" customWidth="1"/>
    <col min="11010" max="11010" width="10.6640625" style="4" customWidth="1"/>
    <col min="11011" max="11011" width="11.5" style="4"/>
    <col min="11012" max="11012" width="9.6640625" style="4" customWidth="1"/>
    <col min="11013" max="11013" width="11.33203125" style="4" customWidth="1"/>
    <col min="11014" max="11014" width="10.33203125" style="4" customWidth="1"/>
    <col min="11015" max="11015" width="10" style="4" customWidth="1"/>
    <col min="11016" max="11016" width="9.6640625" style="4" customWidth="1"/>
    <col min="11017" max="11018" width="10.1640625" style="4" customWidth="1"/>
    <col min="11019" max="11019" width="22" style="4" customWidth="1"/>
    <col min="11020" max="11246" width="11.5" style="4"/>
    <col min="11247" max="11247" width="7" style="4" customWidth="1"/>
    <col min="11248" max="11248" width="29.5" style="4" customWidth="1"/>
    <col min="11249" max="11249" width="6.83203125" style="4" customWidth="1"/>
    <col min="11250" max="11250" width="7.5" style="4" customWidth="1"/>
    <col min="11251" max="11251" width="9.33203125" style="4" customWidth="1"/>
    <col min="11252" max="11252" width="10" style="4" customWidth="1"/>
    <col min="11253" max="11253" width="9" style="4" customWidth="1"/>
    <col min="11254" max="11255" width="7" style="4" customWidth="1"/>
    <col min="11256" max="11256" width="11.1640625" style="4" customWidth="1"/>
    <col min="11257" max="11257" width="9" style="4" customWidth="1"/>
    <col min="11258" max="11258" width="4.5" style="4" customWidth="1"/>
    <col min="11259" max="11260" width="9" style="4" customWidth="1"/>
    <col min="11261" max="11261" width="28.6640625" style="4" customWidth="1"/>
    <col min="11262" max="11263" width="8.5" style="4" customWidth="1"/>
    <col min="11264" max="11264" width="10.33203125" style="4" customWidth="1"/>
    <col min="11265" max="11265" width="10.1640625" style="4" customWidth="1"/>
    <col min="11266" max="11266" width="10.6640625" style="4" customWidth="1"/>
    <col min="11267" max="11267" width="11.5" style="4"/>
    <col min="11268" max="11268" width="9.6640625" style="4" customWidth="1"/>
    <col min="11269" max="11269" width="11.33203125" style="4" customWidth="1"/>
    <col min="11270" max="11270" width="10.33203125" style="4" customWidth="1"/>
    <col min="11271" max="11271" width="10" style="4" customWidth="1"/>
    <col min="11272" max="11272" width="9.6640625" style="4" customWidth="1"/>
    <col min="11273" max="11274" width="10.1640625" style="4" customWidth="1"/>
    <col min="11275" max="11275" width="22" style="4" customWidth="1"/>
    <col min="11276" max="11502" width="11.5" style="4"/>
    <col min="11503" max="11503" width="7" style="4" customWidth="1"/>
    <col min="11504" max="11504" width="29.5" style="4" customWidth="1"/>
    <col min="11505" max="11505" width="6.83203125" style="4" customWidth="1"/>
    <col min="11506" max="11506" width="7.5" style="4" customWidth="1"/>
    <col min="11507" max="11507" width="9.33203125" style="4" customWidth="1"/>
    <col min="11508" max="11508" width="10" style="4" customWidth="1"/>
    <col min="11509" max="11509" width="9" style="4" customWidth="1"/>
    <col min="11510" max="11511" width="7" style="4" customWidth="1"/>
    <col min="11512" max="11512" width="11.1640625" style="4" customWidth="1"/>
    <col min="11513" max="11513" width="9" style="4" customWidth="1"/>
    <col min="11514" max="11514" width="4.5" style="4" customWidth="1"/>
    <col min="11515" max="11516" width="9" style="4" customWidth="1"/>
    <col min="11517" max="11517" width="28.6640625" style="4" customWidth="1"/>
    <col min="11518" max="11519" width="8.5" style="4" customWidth="1"/>
    <col min="11520" max="11520" width="10.33203125" style="4" customWidth="1"/>
    <col min="11521" max="11521" width="10.1640625" style="4" customWidth="1"/>
    <col min="11522" max="11522" width="10.6640625" style="4" customWidth="1"/>
    <col min="11523" max="11523" width="11.5" style="4"/>
    <col min="11524" max="11524" width="9.6640625" style="4" customWidth="1"/>
    <col min="11525" max="11525" width="11.33203125" style="4" customWidth="1"/>
    <col min="11526" max="11526" width="10.33203125" style="4" customWidth="1"/>
    <col min="11527" max="11527" width="10" style="4" customWidth="1"/>
    <col min="11528" max="11528" width="9.6640625" style="4" customWidth="1"/>
    <col min="11529" max="11530" width="10.1640625" style="4" customWidth="1"/>
    <col min="11531" max="11531" width="22" style="4" customWidth="1"/>
    <col min="11532" max="11758" width="11.5" style="4"/>
    <col min="11759" max="11759" width="7" style="4" customWidth="1"/>
    <col min="11760" max="11760" width="29.5" style="4" customWidth="1"/>
    <col min="11761" max="11761" width="6.83203125" style="4" customWidth="1"/>
    <col min="11762" max="11762" width="7.5" style="4" customWidth="1"/>
    <col min="11763" max="11763" width="9.33203125" style="4" customWidth="1"/>
    <col min="11764" max="11764" width="10" style="4" customWidth="1"/>
    <col min="11765" max="11765" width="9" style="4" customWidth="1"/>
    <col min="11766" max="11767" width="7" style="4" customWidth="1"/>
    <col min="11768" max="11768" width="11.1640625" style="4" customWidth="1"/>
    <col min="11769" max="11769" width="9" style="4" customWidth="1"/>
    <col min="11770" max="11770" width="4.5" style="4" customWidth="1"/>
    <col min="11771" max="11772" width="9" style="4" customWidth="1"/>
    <col min="11773" max="11773" width="28.6640625" style="4" customWidth="1"/>
    <col min="11774" max="11775" width="8.5" style="4" customWidth="1"/>
    <col min="11776" max="11776" width="10.33203125" style="4" customWidth="1"/>
    <col min="11777" max="11777" width="10.1640625" style="4" customWidth="1"/>
    <col min="11778" max="11778" width="10.6640625" style="4" customWidth="1"/>
    <col min="11779" max="11779" width="11.5" style="4"/>
    <col min="11780" max="11780" width="9.6640625" style="4" customWidth="1"/>
    <col min="11781" max="11781" width="11.33203125" style="4" customWidth="1"/>
    <col min="11782" max="11782" width="10.33203125" style="4" customWidth="1"/>
    <col min="11783" max="11783" width="10" style="4" customWidth="1"/>
    <col min="11784" max="11784" width="9.6640625" style="4" customWidth="1"/>
    <col min="11785" max="11786" width="10.1640625" style="4" customWidth="1"/>
    <col min="11787" max="11787" width="22" style="4" customWidth="1"/>
    <col min="11788" max="12014" width="11.5" style="4"/>
    <col min="12015" max="12015" width="7" style="4" customWidth="1"/>
    <col min="12016" max="12016" width="29.5" style="4" customWidth="1"/>
    <col min="12017" max="12017" width="6.83203125" style="4" customWidth="1"/>
    <col min="12018" max="12018" width="7.5" style="4" customWidth="1"/>
    <col min="12019" max="12019" width="9.33203125" style="4" customWidth="1"/>
    <col min="12020" max="12020" width="10" style="4" customWidth="1"/>
    <col min="12021" max="12021" width="9" style="4" customWidth="1"/>
    <col min="12022" max="12023" width="7" style="4" customWidth="1"/>
    <col min="12024" max="12024" width="11.1640625" style="4" customWidth="1"/>
    <col min="12025" max="12025" width="9" style="4" customWidth="1"/>
    <col min="12026" max="12026" width="4.5" style="4" customWidth="1"/>
    <col min="12027" max="12028" width="9" style="4" customWidth="1"/>
    <col min="12029" max="12029" width="28.6640625" style="4" customWidth="1"/>
    <col min="12030" max="12031" width="8.5" style="4" customWidth="1"/>
    <col min="12032" max="12032" width="10.33203125" style="4" customWidth="1"/>
    <col min="12033" max="12033" width="10.1640625" style="4" customWidth="1"/>
    <col min="12034" max="12034" width="10.6640625" style="4" customWidth="1"/>
    <col min="12035" max="12035" width="11.5" style="4"/>
    <col min="12036" max="12036" width="9.6640625" style="4" customWidth="1"/>
    <col min="12037" max="12037" width="11.33203125" style="4" customWidth="1"/>
    <col min="12038" max="12038" width="10.33203125" style="4" customWidth="1"/>
    <col min="12039" max="12039" width="10" style="4" customWidth="1"/>
    <col min="12040" max="12040" width="9.6640625" style="4" customWidth="1"/>
    <col min="12041" max="12042" width="10.1640625" style="4" customWidth="1"/>
    <col min="12043" max="12043" width="22" style="4" customWidth="1"/>
    <col min="12044" max="12270" width="11.5" style="4"/>
    <col min="12271" max="12271" width="7" style="4" customWidth="1"/>
    <col min="12272" max="12272" width="29.5" style="4" customWidth="1"/>
    <col min="12273" max="12273" width="6.83203125" style="4" customWidth="1"/>
    <col min="12274" max="12274" width="7.5" style="4" customWidth="1"/>
    <col min="12275" max="12275" width="9.33203125" style="4" customWidth="1"/>
    <col min="12276" max="12276" width="10" style="4" customWidth="1"/>
    <col min="12277" max="12277" width="9" style="4" customWidth="1"/>
    <col min="12278" max="12279" width="7" style="4" customWidth="1"/>
    <col min="12280" max="12280" width="11.1640625" style="4" customWidth="1"/>
    <col min="12281" max="12281" width="9" style="4" customWidth="1"/>
    <col min="12282" max="12282" width="4.5" style="4" customWidth="1"/>
    <col min="12283" max="12284" width="9" style="4" customWidth="1"/>
    <col min="12285" max="12285" width="28.6640625" style="4" customWidth="1"/>
    <col min="12286" max="12287" width="8.5" style="4" customWidth="1"/>
    <col min="12288" max="12288" width="10.33203125" style="4" customWidth="1"/>
    <col min="12289" max="12289" width="10.1640625" style="4" customWidth="1"/>
    <col min="12290" max="12290" width="10.6640625" style="4" customWidth="1"/>
    <col min="12291" max="12291" width="11.5" style="4"/>
    <col min="12292" max="12292" width="9.6640625" style="4" customWidth="1"/>
    <col min="12293" max="12293" width="11.33203125" style="4" customWidth="1"/>
    <col min="12294" max="12294" width="10.33203125" style="4" customWidth="1"/>
    <col min="12295" max="12295" width="10" style="4" customWidth="1"/>
    <col min="12296" max="12296" width="9.6640625" style="4" customWidth="1"/>
    <col min="12297" max="12298" width="10.1640625" style="4" customWidth="1"/>
    <col min="12299" max="12299" width="22" style="4" customWidth="1"/>
    <col min="12300" max="12526" width="11.5" style="4"/>
    <col min="12527" max="12527" width="7" style="4" customWidth="1"/>
    <col min="12528" max="12528" width="29.5" style="4" customWidth="1"/>
    <col min="12529" max="12529" width="6.83203125" style="4" customWidth="1"/>
    <col min="12530" max="12530" width="7.5" style="4" customWidth="1"/>
    <col min="12531" max="12531" width="9.33203125" style="4" customWidth="1"/>
    <col min="12532" max="12532" width="10" style="4" customWidth="1"/>
    <col min="12533" max="12533" width="9" style="4" customWidth="1"/>
    <col min="12534" max="12535" width="7" style="4" customWidth="1"/>
    <col min="12536" max="12536" width="11.1640625" style="4" customWidth="1"/>
    <col min="12537" max="12537" width="9" style="4" customWidth="1"/>
    <col min="12538" max="12538" width="4.5" style="4" customWidth="1"/>
    <col min="12539" max="12540" width="9" style="4" customWidth="1"/>
    <col min="12541" max="12541" width="28.6640625" style="4" customWidth="1"/>
    <col min="12542" max="12543" width="8.5" style="4" customWidth="1"/>
    <col min="12544" max="12544" width="10.33203125" style="4" customWidth="1"/>
    <col min="12545" max="12545" width="10.1640625" style="4" customWidth="1"/>
    <col min="12546" max="12546" width="10.6640625" style="4" customWidth="1"/>
    <col min="12547" max="12547" width="11.5" style="4"/>
    <col min="12548" max="12548" width="9.6640625" style="4" customWidth="1"/>
    <col min="12549" max="12549" width="11.33203125" style="4" customWidth="1"/>
    <col min="12550" max="12550" width="10.33203125" style="4" customWidth="1"/>
    <col min="12551" max="12551" width="10" style="4" customWidth="1"/>
    <col min="12552" max="12552" width="9.6640625" style="4" customWidth="1"/>
    <col min="12553" max="12554" width="10.1640625" style="4" customWidth="1"/>
    <col min="12555" max="12555" width="22" style="4" customWidth="1"/>
    <col min="12556" max="12782" width="11.5" style="4"/>
    <col min="12783" max="12783" width="7" style="4" customWidth="1"/>
    <col min="12784" max="12784" width="29.5" style="4" customWidth="1"/>
    <col min="12785" max="12785" width="6.83203125" style="4" customWidth="1"/>
    <col min="12786" max="12786" width="7.5" style="4" customWidth="1"/>
    <col min="12787" max="12787" width="9.33203125" style="4" customWidth="1"/>
    <col min="12788" max="12788" width="10" style="4" customWidth="1"/>
    <col min="12789" max="12789" width="9" style="4" customWidth="1"/>
    <col min="12790" max="12791" width="7" style="4" customWidth="1"/>
    <col min="12792" max="12792" width="11.1640625" style="4" customWidth="1"/>
    <col min="12793" max="12793" width="9" style="4" customWidth="1"/>
    <col min="12794" max="12794" width="4.5" style="4" customWidth="1"/>
    <col min="12795" max="12796" width="9" style="4" customWidth="1"/>
    <col min="12797" max="12797" width="28.6640625" style="4" customWidth="1"/>
    <col min="12798" max="12799" width="8.5" style="4" customWidth="1"/>
    <col min="12800" max="12800" width="10.33203125" style="4" customWidth="1"/>
    <col min="12801" max="12801" width="10.1640625" style="4" customWidth="1"/>
    <col min="12802" max="12802" width="10.6640625" style="4" customWidth="1"/>
    <col min="12803" max="12803" width="11.5" style="4"/>
    <col min="12804" max="12804" width="9.6640625" style="4" customWidth="1"/>
    <col min="12805" max="12805" width="11.33203125" style="4" customWidth="1"/>
    <col min="12806" max="12806" width="10.33203125" style="4" customWidth="1"/>
    <col min="12807" max="12807" width="10" style="4" customWidth="1"/>
    <col min="12808" max="12808" width="9.6640625" style="4" customWidth="1"/>
    <col min="12809" max="12810" width="10.1640625" style="4" customWidth="1"/>
    <col min="12811" max="12811" width="22" style="4" customWidth="1"/>
    <col min="12812" max="13038" width="11.5" style="4"/>
    <col min="13039" max="13039" width="7" style="4" customWidth="1"/>
    <col min="13040" max="13040" width="29.5" style="4" customWidth="1"/>
    <col min="13041" max="13041" width="6.83203125" style="4" customWidth="1"/>
    <col min="13042" max="13042" width="7.5" style="4" customWidth="1"/>
    <col min="13043" max="13043" width="9.33203125" style="4" customWidth="1"/>
    <col min="13044" max="13044" width="10" style="4" customWidth="1"/>
    <col min="13045" max="13045" width="9" style="4" customWidth="1"/>
    <col min="13046" max="13047" width="7" style="4" customWidth="1"/>
    <col min="13048" max="13048" width="11.1640625" style="4" customWidth="1"/>
    <col min="13049" max="13049" width="9" style="4" customWidth="1"/>
    <col min="13050" max="13050" width="4.5" style="4" customWidth="1"/>
    <col min="13051" max="13052" width="9" style="4" customWidth="1"/>
    <col min="13053" max="13053" width="28.6640625" style="4" customWidth="1"/>
    <col min="13054" max="13055" width="8.5" style="4" customWidth="1"/>
    <col min="13056" max="13056" width="10.33203125" style="4" customWidth="1"/>
    <col min="13057" max="13057" width="10.1640625" style="4" customWidth="1"/>
    <col min="13058" max="13058" width="10.6640625" style="4" customWidth="1"/>
    <col min="13059" max="13059" width="11.5" style="4"/>
    <col min="13060" max="13060" width="9.6640625" style="4" customWidth="1"/>
    <col min="13061" max="13061" width="11.33203125" style="4" customWidth="1"/>
    <col min="13062" max="13062" width="10.33203125" style="4" customWidth="1"/>
    <col min="13063" max="13063" width="10" style="4" customWidth="1"/>
    <col min="13064" max="13064" width="9.6640625" style="4" customWidth="1"/>
    <col min="13065" max="13066" width="10.1640625" style="4" customWidth="1"/>
    <col min="13067" max="13067" width="22" style="4" customWidth="1"/>
    <col min="13068" max="13294" width="11.5" style="4"/>
    <col min="13295" max="13295" width="7" style="4" customWidth="1"/>
    <col min="13296" max="13296" width="29.5" style="4" customWidth="1"/>
    <col min="13297" max="13297" width="6.83203125" style="4" customWidth="1"/>
    <col min="13298" max="13298" width="7.5" style="4" customWidth="1"/>
    <col min="13299" max="13299" width="9.33203125" style="4" customWidth="1"/>
    <col min="13300" max="13300" width="10" style="4" customWidth="1"/>
    <col min="13301" max="13301" width="9" style="4" customWidth="1"/>
    <col min="13302" max="13303" width="7" style="4" customWidth="1"/>
    <col min="13304" max="13304" width="11.1640625" style="4" customWidth="1"/>
    <col min="13305" max="13305" width="9" style="4" customWidth="1"/>
    <col min="13306" max="13306" width="4.5" style="4" customWidth="1"/>
    <col min="13307" max="13308" width="9" style="4" customWidth="1"/>
    <col min="13309" max="13309" width="28.6640625" style="4" customWidth="1"/>
    <col min="13310" max="13311" width="8.5" style="4" customWidth="1"/>
    <col min="13312" max="13312" width="10.33203125" style="4" customWidth="1"/>
    <col min="13313" max="13313" width="10.1640625" style="4" customWidth="1"/>
    <col min="13314" max="13314" width="10.6640625" style="4" customWidth="1"/>
    <col min="13315" max="13315" width="11.5" style="4"/>
    <col min="13316" max="13316" width="9.6640625" style="4" customWidth="1"/>
    <col min="13317" max="13317" width="11.33203125" style="4" customWidth="1"/>
    <col min="13318" max="13318" width="10.33203125" style="4" customWidth="1"/>
    <col min="13319" max="13319" width="10" style="4" customWidth="1"/>
    <col min="13320" max="13320" width="9.6640625" style="4" customWidth="1"/>
    <col min="13321" max="13322" width="10.1640625" style="4" customWidth="1"/>
    <col min="13323" max="13323" width="22" style="4" customWidth="1"/>
    <col min="13324" max="13550" width="11.5" style="4"/>
    <col min="13551" max="13551" width="7" style="4" customWidth="1"/>
    <col min="13552" max="13552" width="29.5" style="4" customWidth="1"/>
    <col min="13553" max="13553" width="6.83203125" style="4" customWidth="1"/>
    <col min="13554" max="13554" width="7.5" style="4" customWidth="1"/>
    <col min="13555" max="13555" width="9.33203125" style="4" customWidth="1"/>
    <col min="13556" max="13556" width="10" style="4" customWidth="1"/>
    <col min="13557" max="13557" width="9" style="4" customWidth="1"/>
    <col min="13558" max="13559" width="7" style="4" customWidth="1"/>
    <col min="13560" max="13560" width="11.1640625" style="4" customWidth="1"/>
    <col min="13561" max="13561" width="9" style="4" customWidth="1"/>
    <col min="13562" max="13562" width="4.5" style="4" customWidth="1"/>
    <col min="13563" max="13564" width="9" style="4" customWidth="1"/>
    <col min="13565" max="13565" width="28.6640625" style="4" customWidth="1"/>
    <col min="13566" max="13567" width="8.5" style="4" customWidth="1"/>
    <col min="13568" max="13568" width="10.33203125" style="4" customWidth="1"/>
    <col min="13569" max="13569" width="10.1640625" style="4" customWidth="1"/>
    <col min="13570" max="13570" width="10.6640625" style="4" customWidth="1"/>
    <col min="13571" max="13571" width="11.5" style="4"/>
    <col min="13572" max="13572" width="9.6640625" style="4" customWidth="1"/>
    <col min="13573" max="13573" width="11.33203125" style="4" customWidth="1"/>
    <col min="13574" max="13574" width="10.33203125" style="4" customWidth="1"/>
    <col min="13575" max="13575" width="10" style="4" customWidth="1"/>
    <col min="13576" max="13576" width="9.6640625" style="4" customWidth="1"/>
    <col min="13577" max="13578" width="10.1640625" style="4" customWidth="1"/>
    <col min="13579" max="13579" width="22" style="4" customWidth="1"/>
    <col min="13580" max="13806" width="11.5" style="4"/>
    <col min="13807" max="13807" width="7" style="4" customWidth="1"/>
    <col min="13808" max="13808" width="29.5" style="4" customWidth="1"/>
    <col min="13809" max="13809" width="6.83203125" style="4" customWidth="1"/>
    <col min="13810" max="13810" width="7.5" style="4" customWidth="1"/>
    <col min="13811" max="13811" width="9.33203125" style="4" customWidth="1"/>
    <col min="13812" max="13812" width="10" style="4" customWidth="1"/>
    <col min="13813" max="13813" width="9" style="4" customWidth="1"/>
    <col min="13814" max="13815" width="7" style="4" customWidth="1"/>
    <col min="13816" max="13816" width="11.1640625" style="4" customWidth="1"/>
    <col min="13817" max="13817" width="9" style="4" customWidth="1"/>
    <col min="13818" max="13818" width="4.5" style="4" customWidth="1"/>
    <col min="13819" max="13820" width="9" style="4" customWidth="1"/>
    <col min="13821" max="13821" width="28.6640625" style="4" customWidth="1"/>
    <col min="13822" max="13823" width="8.5" style="4" customWidth="1"/>
    <col min="13824" max="13824" width="10.33203125" style="4" customWidth="1"/>
    <col min="13825" max="13825" width="10.1640625" style="4" customWidth="1"/>
    <col min="13826" max="13826" width="10.6640625" style="4" customWidth="1"/>
    <col min="13827" max="13827" width="11.5" style="4"/>
    <col min="13828" max="13828" width="9.6640625" style="4" customWidth="1"/>
    <col min="13829" max="13829" width="11.33203125" style="4" customWidth="1"/>
    <col min="13830" max="13830" width="10.33203125" style="4" customWidth="1"/>
    <col min="13831" max="13831" width="10" style="4" customWidth="1"/>
    <col min="13832" max="13832" width="9.6640625" style="4" customWidth="1"/>
    <col min="13833" max="13834" width="10.1640625" style="4" customWidth="1"/>
    <col min="13835" max="13835" width="22" style="4" customWidth="1"/>
    <col min="13836" max="14062" width="11.5" style="4"/>
    <col min="14063" max="14063" width="7" style="4" customWidth="1"/>
    <col min="14064" max="14064" width="29.5" style="4" customWidth="1"/>
    <col min="14065" max="14065" width="6.83203125" style="4" customWidth="1"/>
    <col min="14066" max="14066" width="7.5" style="4" customWidth="1"/>
    <col min="14067" max="14067" width="9.33203125" style="4" customWidth="1"/>
    <col min="14068" max="14068" width="10" style="4" customWidth="1"/>
    <col min="14069" max="14069" width="9" style="4" customWidth="1"/>
    <col min="14070" max="14071" width="7" style="4" customWidth="1"/>
    <col min="14072" max="14072" width="11.1640625" style="4" customWidth="1"/>
    <col min="14073" max="14073" width="9" style="4" customWidth="1"/>
    <col min="14074" max="14074" width="4.5" style="4" customWidth="1"/>
    <col min="14075" max="14076" width="9" style="4" customWidth="1"/>
    <col min="14077" max="14077" width="28.6640625" style="4" customWidth="1"/>
    <col min="14078" max="14079" width="8.5" style="4" customWidth="1"/>
    <col min="14080" max="14080" width="10.33203125" style="4" customWidth="1"/>
    <col min="14081" max="14081" width="10.1640625" style="4" customWidth="1"/>
    <col min="14082" max="14082" width="10.6640625" style="4" customWidth="1"/>
    <col min="14083" max="14083" width="11.5" style="4"/>
    <col min="14084" max="14084" width="9.6640625" style="4" customWidth="1"/>
    <col min="14085" max="14085" width="11.33203125" style="4" customWidth="1"/>
    <col min="14086" max="14086" width="10.33203125" style="4" customWidth="1"/>
    <col min="14087" max="14087" width="10" style="4" customWidth="1"/>
    <col min="14088" max="14088" width="9.6640625" style="4" customWidth="1"/>
    <col min="14089" max="14090" width="10.1640625" style="4" customWidth="1"/>
    <col min="14091" max="14091" width="22" style="4" customWidth="1"/>
    <col min="14092" max="14318" width="11.5" style="4"/>
    <col min="14319" max="14319" width="7" style="4" customWidth="1"/>
    <col min="14320" max="14320" width="29.5" style="4" customWidth="1"/>
    <col min="14321" max="14321" width="6.83203125" style="4" customWidth="1"/>
    <col min="14322" max="14322" width="7.5" style="4" customWidth="1"/>
    <col min="14323" max="14323" width="9.33203125" style="4" customWidth="1"/>
    <col min="14324" max="14324" width="10" style="4" customWidth="1"/>
    <col min="14325" max="14325" width="9" style="4" customWidth="1"/>
    <col min="14326" max="14327" width="7" style="4" customWidth="1"/>
    <col min="14328" max="14328" width="11.1640625" style="4" customWidth="1"/>
    <col min="14329" max="14329" width="9" style="4" customWidth="1"/>
    <col min="14330" max="14330" width="4.5" style="4" customWidth="1"/>
    <col min="14331" max="14332" width="9" style="4" customWidth="1"/>
    <col min="14333" max="14333" width="28.6640625" style="4" customWidth="1"/>
    <col min="14334" max="14335" width="8.5" style="4" customWidth="1"/>
    <col min="14336" max="14336" width="10.33203125" style="4" customWidth="1"/>
    <col min="14337" max="14337" width="10.1640625" style="4" customWidth="1"/>
    <col min="14338" max="14338" width="10.6640625" style="4" customWidth="1"/>
    <col min="14339" max="14339" width="11.5" style="4"/>
    <col min="14340" max="14340" width="9.6640625" style="4" customWidth="1"/>
    <col min="14341" max="14341" width="11.33203125" style="4" customWidth="1"/>
    <col min="14342" max="14342" width="10.33203125" style="4" customWidth="1"/>
    <col min="14343" max="14343" width="10" style="4" customWidth="1"/>
    <col min="14344" max="14344" width="9.6640625" style="4" customWidth="1"/>
    <col min="14345" max="14346" width="10.1640625" style="4" customWidth="1"/>
    <col min="14347" max="14347" width="22" style="4" customWidth="1"/>
    <col min="14348" max="14574" width="11.5" style="4"/>
    <col min="14575" max="14575" width="7" style="4" customWidth="1"/>
    <col min="14576" max="14576" width="29.5" style="4" customWidth="1"/>
    <col min="14577" max="14577" width="6.83203125" style="4" customWidth="1"/>
    <col min="14578" max="14578" width="7.5" style="4" customWidth="1"/>
    <col min="14579" max="14579" width="9.33203125" style="4" customWidth="1"/>
    <col min="14580" max="14580" width="10" style="4" customWidth="1"/>
    <col min="14581" max="14581" width="9" style="4" customWidth="1"/>
    <col min="14582" max="14583" width="7" style="4" customWidth="1"/>
    <col min="14584" max="14584" width="11.1640625" style="4" customWidth="1"/>
    <col min="14585" max="14585" width="9" style="4" customWidth="1"/>
    <col min="14586" max="14586" width="4.5" style="4" customWidth="1"/>
    <col min="14587" max="14588" width="9" style="4" customWidth="1"/>
    <col min="14589" max="14589" width="28.6640625" style="4" customWidth="1"/>
    <col min="14590" max="14591" width="8.5" style="4" customWidth="1"/>
    <col min="14592" max="14592" width="10.33203125" style="4" customWidth="1"/>
    <col min="14593" max="14593" width="10.1640625" style="4" customWidth="1"/>
    <col min="14594" max="14594" width="10.6640625" style="4" customWidth="1"/>
    <col min="14595" max="14595" width="11.5" style="4"/>
    <col min="14596" max="14596" width="9.6640625" style="4" customWidth="1"/>
    <col min="14597" max="14597" width="11.33203125" style="4" customWidth="1"/>
    <col min="14598" max="14598" width="10.33203125" style="4" customWidth="1"/>
    <col min="14599" max="14599" width="10" style="4" customWidth="1"/>
    <col min="14600" max="14600" width="9.6640625" style="4" customWidth="1"/>
    <col min="14601" max="14602" width="10.1640625" style="4" customWidth="1"/>
    <col min="14603" max="14603" width="22" style="4" customWidth="1"/>
    <col min="14604" max="14830" width="11.5" style="4"/>
    <col min="14831" max="14831" width="7" style="4" customWidth="1"/>
    <col min="14832" max="14832" width="29.5" style="4" customWidth="1"/>
    <col min="14833" max="14833" width="6.83203125" style="4" customWidth="1"/>
    <col min="14834" max="14834" width="7.5" style="4" customWidth="1"/>
    <col min="14835" max="14835" width="9.33203125" style="4" customWidth="1"/>
    <col min="14836" max="14836" width="10" style="4" customWidth="1"/>
    <col min="14837" max="14837" width="9" style="4" customWidth="1"/>
    <col min="14838" max="14839" width="7" style="4" customWidth="1"/>
    <col min="14840" max="14840" width="11.1640625" style="4" customWidth="1"/>
    <col min="14841" max="14841" width="9" style="4" customWidth="1"/>
    <col min="14842" max="14842" width="4.5" style="4" customWidth="1"/>
    <col min="14843" max="14844" width="9" style="4" customWidth="1"/>
    <col min="14845" max="14845" width="28.6640625" style="4" customWidth="1"/>
    <col min="14846" max="14847" width="8.5" style="4" customWidth="1"/>
    <col min="14848" max="14848" width="10.33203125" style="4" customWidth="1"/>
    <col min="14849" max="14849" width="10.1640625" style="4" customWidth="1"/>
    <col min="14850" max="14850" width="10.6640625" style="4" customWidth="1"/>
    <col min="14851" max="14851" width="11.5" style="4"/>
    <col min="14852" max="14852" width="9.6640625" style="4" customWidth="1"/>
    <col min="14853" max="14853" width="11.33203125" style="4" customWidth="1"/>
    <col min="14854" max="14854" width="10.33203125" style="4" customWidth="1"/>
    <col min="14855" max="14855" width="10" style="4" customWidth="1"/>
    <col min="14856" max="14856" width="9.6640625" style="4" customWidth="1"/>
    <col min="14857" max="14858" width="10.1640625" style="4" customWidth="1"/>
    <col min="14859" max="14859" width="22" style="4" customWidth="1"/>
    <col min="14860" max="15086" width="11.5" style="4"/>
    <col min="15087" max="15087" width="7" style="4" customWidth="1"/>
    <col min="15088" max="15088" width="29.5" style="4" customWidth="1"/>
    <col min="15089" max="15089" width="6.83203125" style="4" customWidth="1"/>
    <col min="15090" max="15090" width="7.5" style="4" customWidth="1"/>
    <col min="15091" max="15091" width="9.33203125" style="4" customWidth="1"/>
    <col min="15092" max="15092" width="10" style="4" customWidth="1"/>
    <col min="15093" max="15093" width="9" style="4" customWidth="1"/>
    <col min="15094" max="15095" width="7" style="4" customWidth="1"/>
    <col min="15096" max="15096" width="11.1640625" style="4" customWidth="1"/>
    <col min="15097" max="15097" width="9" style="4" customWidth="1"/>
    <col min="15098" max="15098" width="4.5" style="4" customWidth="1"/>
    <col min="15099" max="15100" width="9" style="4" customWidth="1"/>
    <col min="15101" max="15101" width="28.6640625" style="4" customWidth="1"/>
    <col min="15102" max="15103" width="8.5" style="4" customWidth="1"/>
    <col min="15104" max="15104" width="10.33203125" style="4" customWidth="1"/>
    <col min="15105" max="15105" width="10.1640625" style="4" customWidth="1"/>
    <col min="15106" max="15106" width="10.6640625" style="4" customWidth="1"/>
    <col min="15107" max="15107" width="11.5" style="4"/>
    <col min="15108" max="15108" width="9.6640625" style="4" customWidth="1"/>
    <col min="15109" max="15109" width="11.33203125" style="4" customWidth="1"/>
    <col min="15110" max="15110" width="10.33203125" style="4" customWidth="1"/>
    <col min="15111" max="15111" width="10" style="4" customWidth="1"/>
    <col min="15112" max="15112" width="9.6640625" style="4" customWidth="1"/>
    <col min="15113" max="15114" width="10.1640625" style="4" customWidth="1"/>
    <col min="15115" max="15115" width="22" style="4" customWidth="1"/>
    <col min="15116" max="15342" width="11.5" style="4"/>
    <col min="15343" max="15343" width="7" style="4" customWidth="1"/>
    <col min="15344" max="15344" width="29.5" style="4" customWidth="1"/>
    <col min="15345" max="15345" width="6.83203125" style="4" customWidth="1"/>
    <col min="15346" max="15346" width="7.5" style="4" customWidth="1"/>
    <col min="15347" max="15347" width="9.33203125" style="4" customWidth="1"/>
    <col min="15348" max="15348" width="10" style="4" customWidth="1"/>
    <col min="15349" max="15349" width="9" style="4" customWidth="1"/>
    <col min="15350" max="15351" width="7" style="4" customWidth="1"/>
    <col min="15352" max="15352" width="11.1640625" style="4" customWidth="1"/>
    <col min="15353" max="15353" width="9" style="4" customWidth="1"/>
    <col min="15354" max="15354" width="4.5" style="4" customWidth="1"/>
    <col min="15355" max="15356" width="9" style="4" customWidth="1"/>
    <col min="15357" max="15357" width="28.6640625" style="4" customWidth="1"/>
    <col min="15358" max="15359" width="8.5" style="4" customWidth="1"/>
    <col min="15360" max="15360" width="10.33203125" style="4" customWidth="1"/>
    <col min="15361" max="15361" width="10.1640625" style="4" customWidth="1"/>
    <col min="15362" max="15362" width="10.6640625" style="4" customWidth="1"/>
    <col min="15363" max="15363" width="11.5" style="4"/>
    <col min="15364" max="15364" width="9.6640625" style="4" customWidth="1"/>
    <col min="15365" max="15365" width="11.33203125" style="4" customWidth="1"/>
    <col min="15366" max="15366" width="10.33203125" style="4" customWidth="1"/>
    <col min="15367" max="15367" width="10" style="4" customWidth="1"/>
    <col min="15368" max="15368" width="9.6640625" style="4" customWidth="1"/>
    <col min="15369" max="15370" width="10.1640625" style="4" customWidth="1"/>
    <col min="15371" max="15371" width="22" style="4" customWidth="1"/>
    <col min="15372" max="15598" width="11.5" style="4"/>
    <col min="15599" max="15599" width="7" style="4" customWidth="1"/>
    <col min="15600" max="15600" width="29.5" style="4" customWidth="1"/>
    <col min="15601" max="15601" width="6.83203125" style="4" customWidth="1"/>
    <col min="15602" max="15602" width="7.5" style="4" customWidth="1"/>
    <col min="15603" max="15603" width="9.33203125" style="4" customWidth="1"/>
    <col min="15604" max="15604" width="10" style="4" customWidth="1"/>
    <col min="15605" max="15605" width="9" style="4" customWidth="1"/>
    <col min="15606" max="15607" width="7" style="4" customWidth="1"/>
    <col min="15608" max="15608" width="11.1640625" style="4" customWidth="1"/>
    <col min="15609" max="15609" width="9" style="4" customWidth="1"/>
    <col min="15610" max="15610" width="4.5" style="4" customWidth="1"/>
    <col min="15611" max="15612" width="9" style="4" customWidth="1"/>
    <col min="15613" max="15613" width="28.6640625" style="4" customWidth="1"/>
    <col min="15614" max="15615" width="8.5" style="4" customWidth="1"/>
    <col min="15616" max="15616" width="10.33203125" style="4" customWidth="1"/>
    <col min="15617" max="15617" width="10.1640625" style="4" customWidth="1"/>
    <col min="15618" max="15618" width="10.6640625" style="4" customWidth="1"/>
    <col min="15619" max="15619" width="11.5" style="4"/>
    <col min="15620" max="15620" width="9.6640625" style="4" customWidth="1"/>
    <col min="15621" max="15621" width="11.33203125" style="4" customWidth="1"/>
    <col min="15622" max="15622" width="10.33203125" style="4" customWidth="1"/>
    <col min="15623" max="15623" width="10" style="4" customWidth="1"/>
    <col min="15624" max="15624" width="9.6640625" style="4" customWidth="1"/>
    <col min="15625" max="15626" width="10.1640625" style="4" customWidth="1"/>
    <col min="15627" max="15627" width="22" style="4" customWidth="1"/>
    <col min="15628" max="15854" width="11.5" style="4"/>
    <col min="15855" max="15855" width="7" style="4" customWidth="1"/>
    <col min="15856" max="15856" width="29.5" style="4" customWidth="1"/>
    <col min="15857" max="15857" width="6.83203125" style="4" customWidth="1"/>
    <col min="15858" max="15858" width="7.5" style="4" customWidth="1"/>
    <col min="15859" max="15859" width="9.33203125" style="4" customWidth="1"/>
    <col min="15860" max="15860" width="10" style="4" customWidth="1"/>
    <col min="15861" max="15861" width="9" style="4" customWidth="1"/>
    <col min="15862" max="15863" width="7" style="4" customWidth="1"/>
    <col min="15864" max="15864" width="11.1640625" style="4" customWidth="1"/>
    <col min="15865" max="15865" width="9" style="4" customWidth="1"/>
    <col min="15866" max="15866" width="4.5" style="4" customWidth="1"/>
    <col min="15867" max="15868" width="9" style="4" customWidth="1"/>
    <col min="15869" max="15869" width="28.6640625" style="4" customWidth="1"/>
    <col min="15870" max="15871" width="8.5" style="4" customWidth="1"/>
    <col min="15872" max="15872" width="10.33203125" style="4" customWidth="1"/>
    <col min="15873" max="15873" width="10.1640625" style="4" customWidth="1"/>
    <col min="15874" max="15874" width="10.6640625" style="4" customWidth="1"/>
    <col min="15875" max="15875" width="11.5" style="4"/>
    <col min="15876" max="15876" width="9.6640625" style="4" customWidth="1"/>
    <col min="15877" max="15877" width="11.33203125" style="4" customWidth="1"/>
    <col min="15878" max="15878" width="10.33203125" style="4" customWidth="1"/>
    <col min="15879" max="15879" width="10" style="4" customWidth="1"/>
    <col min="15880" max="15880" width="9.6640625" style="4" customWidth="1"/>
    <col min="15881" max="15882" width="10.1640625" style="4" customWidth="1"/>
    <col min="15883" max="15883" width="22" style="4" customWidth="1"/>
    <col min="15884" max="16110" width="11.5" style="4"/>
    <col min="16111" max="16111" width="7" style="4" customWidth="1"/>
    <col min="16112" max="16112" width="29.5" style="4" customWidth="1"/>
    <col min="16113" max="16113" width="6.83203125" style="4" customWidth="1"/>
    <col min="16114" max="16114" width="7.5" style="4" customWidth="1"/>
    <col min="16115" max="16115" width="9.33203125" style="4" customWidth="1"/>
    <col min="16116" max="16116" width="10" style="4" customWidth="1"/>
    <col min="16117" max="16117" width="9" style="4" customWidth="1"/>
    <col min="16118" max="16119" width="7" style="4" customWidth="1"/>
    <col min="16120" max="16120" width="11.1640625" style="4" customWidth="1"/>
    <col min="16121" max="16121" width="9" style="4" customWidth="1"/>
    <col min="16122" max="16122" width="4.5" style="4" customWidth="1"/>
    <col min="16123" max="16124" width="9" style="4" customWidth="1"/>
    <col min="16125" max="16125" width="28.6640625" style="4" customWidth="1"/>
    <col min="16126" max="16127" width="8.5" style="4" customWidth="1"/>
    <col min="16128" max="16128" width="10.33203125" style="4" customWidth="1"/>
    <col min="16129" max="16129" width="10.1640625" style="4" customWidth="1"/>
    <col min="16130" max="16130" width="10.6640625" style="4" customWidth="1"/>
    <col min="16131" max="16131" width="11.5" style="4"/>
    <col min="16132" max="16132" width="9.6640625" style="4" customWidth="1"/>
    <col min="16133" max="16133" width="11.33203125" style="4" customWidth="1"/>
    <col min="16134" max="16134" width="10.33203125" style="4" customWidth="1"/>
    <col min="16135" max="16135" width="10" style="4" customWidth="1"/>
    <col min="16136" max="16136" width="9.6640625" style="4" customWidth="1"/>
    <col min="16137" max="16138" width="10.1640625" style="4" customWidth="1"/>
    <col min="16139" max="16139" width="22" style="4" customWidth="1"/>
    <col min="16140" max="16381" width="11.5" style="4"/>
    <col min="16382" max="16383" width="11.5" style="4" customWidth="1"/>
    <col min="16384" max="16384" width="11.5" style="4"/>
  </cols>
  <sheetData>
    <row r="1" spans="1:11">
      <c r="A1" s="59" t="s">
        <v>18</v>
      </c>
      <c r="B1" s="60" t="s">
        <v>17</v>
      </c>
      <c r="C1" s="61" t="s">
        <v>16</v>
      </c>
      <c r="D1" s="59" t="s">
        <v>19</v>
      </c>
      <c r="E1" s="62" t="s">
        <v>15</v>
      </c>
      <c r="F1" s="62" t="s">
        <v>14</v>
      </c>
      <c r="G1" s="62" t="s">
        <v>13</v>
      </c>
      <c r="H1" s="62" t="s">
        <v>12</v>
      </c>
    </row>
    <row r="2" spans="1:11">
      <c r="A2" s="50" t="s">
        <v>249</v>
      </c>
      <c r="B2" s="10" t="s">
        <v>40</v>
      </c>
      <c r="C2" s="19" t="str">
        <f>+IFERROR(VLOOKUP(TEXT(A2,"#"),'EXCEL SMX'!B:I,8,0),0)</f>
        <v>0024</v>
      </c>
      <c r="D2" s="19" t="str">
        <f>IFERROR(VLOOKUP(TEXT(A2,"#"),'EXCEL SMX'!B:S,18,0),0)</f>
        <v>000003</v>
      </c>
      <c r="E2" s="10">
        <f t="shared" ref="E2:E66" si="0">C2*D2</f>
        <v>72</v>
      </c>
      <c r="F2" s="10">
        <f>IFERROR(_xlfn.NUMBERVALUE(SUBSTITUTE(VLOOKUP(TEXT(A2,"#"),'EXCEL SMX'!B:Q,9,0),",",".")),"0")*E2</f>
        <v>219.6</v>
      </c>
      <c r="G2" s="10">
        <f>IFERROR(_xlfn.NUMBERVALUE(SUBSTITUTE(VLOOKUP(TEXT(A2,"#"),'EXCEL SMX'!B:Q,16,0),",","."))/100,"0")*F2</f>
        <v>0</v>
      </c>
      <c r="H2" s="10">
        <f t="shared" ref="H2:H66" si="1">F2-G2</f>
        <v>219.6</v>
      </c>
      <c r="K2" s="5"/>
    </row>
    <row r="3" spans="1:11">
      <c r="A3" s="50" t="s">
        <v>248</v>
      </c>
      <c r="B3" s="10" t="s">
        <v>41</v>
      </c>
      <c r="C3" s="19" t="str">
        <f>+IFERROR(VLOOKUP(TEXT(A3,"#"),'EXCEL SMX'!B:I,8,0),0)</f>
        <v>0018</v>
      </c>
      <c r="D3" s="19" t="str">
        <f>IFERROR(VLOOKUP(TEXT(A3,"#"),'EXCEL SMX'!B:S,18,0),0)</f>
        <v>000032</v>
      </c>
      <c r="E3" s="10">
        <f t="shared" si="0"/>
        <v>576</v>
      </c>
      <c r="F3" s="10">
        <f>IFERROR(_xlfn.NUMBERVALUE(SUBSTITUTE(VLOOKUP(TEXT(A3,"#"),'EXCEL SMX'!B:Q,9,0),",",".")),"0")*E3</f>
        <v>2972.16</v>
      </c>
      <c r="G3" s="10">
        <f>IFERROR(_xlfn.NUMBERVALUE(SUBSTITUTE(VLOOKUP(TEXT(A3,"#"),'EXCEL SMX'!B:Q,16,0),",","."))/100,"0")*F3</f>
        <v>594.43200000000002</v>
      </c>
      <c r="H3" s="10">
        <f t="shared" si="1"/>
        <v>2377.7280000000001</v>
      </c>
      <c r="K3" s="5"/>
    </row>
    <row r="4" spans="1:11">
      <c r="A4" s="50" t="s">
        <v>255</v>
      </c>
      <c r="B4" s="10" t="s">
        <v>42</v>
      </c>
      <c r="C4" s="19">
        <f>+IFERROR(VLOOKUP(TEXT(A4,"#"),'EXCEL SMX'!B:I,8,0),0)</f>
        <v>0</v>
      </c>
      <c r="D4" s="19">
        <f>IFERROR(VLOOKUP(TEXT(A4,"#"),'EXCEL SMX'!B:S,18,0),0)</f>
        <v>0</v>
      </c>
      <c r="E4" s="10">
        <f t="shared" si="0"/>
        <v>0</v>
      </c>
      <c r="F4" s="10">
        <f>IFERROR(_xlfn.NUMBERVALUE(SUBSTITUTE(VLOOKUP(TEXT(A4,"#"),'EXCEL SMX'!B:Q,9,0),",",".")),"0")*E4</f>
        <v>0</v>
      </c>
      <c r="G4" s="10">
        <f>IFERROR(_xlfn.NUMBERVALUE(SUBSTITUTE(VLOOKUP(TEXT(A4,"#"),'EXCEL SMX'!B:Q,16,0),",","."))/100,"0")*F4</f>
        <v>0</v>
      </c>
      <c r="H4" s="10">
        <f t="shared" si="1"/>
        <v>0</v>
      </c>
      <c r="K4" s="5"/>
    </row>
    <row r="5" spans="1:11">
      <c r="A5" s="50">
        <v>7861033002507</v>
      </c>
      <c r="B5" s="10" t="s">
        <v>383</v>
      </c>
      <c r="C5" s="19" t="str">
        <f>+IFERROR(VLOOKUP(TEXT(A5,"#"),'EXCEL SMX'!B:I,8,0),0)</f>
        <v>0012</v>
      </c>
      <c r="D5" s="19" t="str">
        <f>IFERROR(VLOOKUP(TEXT(A5,"#"),'EXCEL SMX'!B:S,18,0),0)</f>
        <v>000005</v>
      </c>
      <c r="E5" s="10">
        <f t="shared" si="0"/>
        <v>60</v>
      </c>
      <c r="F5" s="10">
        <f>IFERROR(_xlfn.NUMBERVALUE(SUBSTITUTE(VLOOKUP(TEXT(A5,"#"),'EXCEL SMX'!B:Q,9,0),",",".")),"0")*E5</f>
        <v>192.6</v>
      </c>
      <c r="G5" s="10">
        <f>IFERROR(_xlfn.NUMBERVALUE(SUBSTITUTE(VLOOKUP(TEXT(A5,"#"),'EXCEL SMX'!B:Q,16,0),",","."))/100,"0")*F5</f>
        <v>0</v>
      </c>
      <c r="H5" s="10">
        <f t="shared" si="1"/>
        <v>192.6</v>
      </c>
      <c r="K5" s="5"/>
    </row>
    <row r="6" spans="1:11">
      <c r="A6" s="50" t="s">
        <v>251</v>
      </c>
      <c r="B6" s="10" t="s">
        <v>36</v>
      </c>
      <c r="C6" s="19" t="str">
        <f>+IFERROR(VLOOKUP(TEXT(A6,"#"),'EXCEL SMX'!B:I,8,0),0)</f>
        <v>0008</v>
      </c>
      <c r="D6" s="19" t="str">
        <f>IFERROR(VLOOKUP(TEXT(A6,"#"),'EXCEL SMX'!B:S,18,0),0)</f>
        <v>000011</v>
      </c>
      <c r="E6" s="10">
        <f t="shared" si="0"/>
        <v>88</v>
      </c>
      <c r="F6" s="10">
        <f>IFERROR(_xlfn.NUMBERVALUE(SUBSTITUTE(VLOOKUP(TEXT(A6,"#"),'EXCEL SMX'!B:Q,9,0),",",".")),"0")*E6</f>
        <v>440.88</v>
      </c>
      <c r="G6" s="10">
        <f>IFERROR(_xlfn.NUMBERVALUE(SUBSTITUTE(VLOOKUP(TEXT(A6,"#"),'EXCEL SMX'!B:Q,16,0),",","."))/100,"0")*F6</f>
        <v>0</v>
      </c>
      <c r="H6" s="10">
        <f t="shared" si="1"/>
        <v>440.88</v>
      </c>
      <c r="K6" s="5"/>
    </row>
    <row r="7" spans="1:11">
      <c r="A7" s="50" t="s">
        <v>252</v>
      </c>
      <c r="B7" s="10" t="s">
        <v>37</v>
      </c>
      <c r="C7" s="19" t="str">
        <f>+IFERROR(VLOOKUP(TEXT(A7,"#"),'EXCEL SMX'!B:I,8,0),0)</f>
        <v>0018</v>
      </c>
      <c r="D7" s="19" t="str">
        <f>IFERROR(VLOOKUP(TEXT(A7,"#"),'EXCEL SMX'!B:S,18,0),0)</f>
        <v>000006</v>
      </c>
      <c r="E7" s="10">
        <f t="shared" si="0"/>
        <v>108</v>
      </c>
      <c r="F7" s="10">
        <f>IFERROR(_xlfn.NUMBERVALUE(SUBSTITUTE(VLOOKUP(TEXT(A7,"#"),'EXCEL SMX'!B:Q,9,0),",",".")),"0")*E7</f>
        <v>402.84</v>
      </c>
      <c r="G7" s="10">
        <f>IFERROR(_xlfn.NUMBERVALUE(SUBSTITUTE(VLOOKUP(TEXT(A7,"#"),'EXCEL SMX'!B:Q,16,0),",","."))/100,"0")*F7</f>
        <v>0</v>
      </c>
      <c r="H7" s="10">
        <f t="shared" si="1"/>
        <v>402.84</v>
      </c>
      <c r="K7" s="5"/>
    </row>
    <row r="8" spans="1:11">
      <c r="A8" s="50" t="s">
        <v>253</v>
      </c>
      <c r="B8" s="10" t="s">
        <v>38</v>
      </c>
      <c r="C8" s="19" t="str">
        <f>+IFERROR(VLOOKUP(TEXT(A8,"#"),'EXCEL SMX'!B:I,8,0),0)</f>
        <v>0018</v>
      </c>
      <c r="D8" s="19" t="str">
        <f>IFERROR(VLOOKUP(TEXT(A8,"#"),'EXCEL SMX'!B:S,18,0),0)</f>
        <v>000018</v>
      </c>
      <c r="E8" s="10">
        <f t="shared" si="0"/>
        <v>324</v>
      </c>
      <c r="F8" s="10">
        <f>IFERROR(_xlfn.NUMBERVALUE(SUBSTITUTE(VLOOKUP(TEXT(A8,"#"),'EXCEL SMX'!B:Q,9,0),",",".")),"0")*E8</f>
        <v>1752.8400000000001</v>
      </c>
      <c r="G8" s="10">
        <f>IFERROR(_xlfn.NUMBERVALUE(SUBSTITUTE(VLOOKUP(TEXT(A8,"#"),'EXCEL SMX'!B:Q,16,0),",","."))/100,"0")*F8</f>
        <v>350.56800000000004</v>
      </c>
      <c r="H8" s="10">
        <f t="shared" si="1"/>
        <v>1402.2720000000002</v>
      </c>
      <c r="K8" s="5"/>
    </row>
    <row r="9" spans="1:11">
      <c r="A9" s="50" t="s">
        <v>256</v>
      </c>
      <c r="B9" s="10" t="s">
        <v>43</v>
      </c>
      <c r="C9" s="19" t="str">
        <f>+IFERROR(VLOOKUP(TEXT(A9,"#"),'EXCEL SMX'!B:I,8,0),0)</f>
        <v>0018</v>
      </c>
      <c r="D9" s="19" t="str">
        <f>IFERROR(VLOOKUP(TEXT(A9,"#"),'EXCEL SMX'!B:S,18,0),0)</f>
        <v>000012</v>
      </c>
      <c r="E9" s="10">
        <f t="shared" si="0"/>
        <v>216</v>
      </c>
      <c r="F9" s="10">
        <f>IFERROR(_xlfn.NUMBERVALUE(SUBSTITUTE(VLOOKUP(TEXT(A9,"#"),'EXCEL SMX'!B:Q,9,0),",",".")),"0")*E9</f>
        <v>697.68</v>
      </c>
      <c r="G9" s="10">
        <f>IFERROR(_xlfn.NUMBERVALUE(SUBSTITUTE(VLOOKUP(TEXT(A9,"#"),'EXCEL SMX'!B:Q,16,0),",","."))/100,"0")*F9</f>
        <v>0</v>
      </c>
      <c r="H9" s="10">
        <f t="shared" si="1"/>
        <v>697.68</v>
      </c>
      <c r="K9" s="5"/>
    </row>
    <row r="10" spans="1:11">
      <c r="A10" s="50" t="s">
        <v>257</v>
      </c>
      <c r="B10" s="10" t="s">
        <v>76</v>
      </c>
      <c r="C10" s="19">
        <f>+IFERROR(VLOOKUP(TEXT(A10,"#"),'EXCEL SMX'!B:I,8,0),0)</f>
        <v>0</v>
      </c>
      <c r="D10" s="19">
        <f>IFERROR(VLOOKUP(TEXT(A10,"#"),'EXCEL SMX'!B:S,18,0),0)</f>
        <v>0</v>
      </c>
      <c r="E10" s="10">
        <f t="shared" si="0"/>
        <v>0</v>
      </c>
      <c r="F10" s="10">
        <f>IFERROR(_xlfn.NUMBERVALUE(SUBSTITUTE(VLOOKUP(TEXT(A10,"#"),'EXCEL SMX'!B:Q,9,0),",",".")),"0")*E10</f>
        <v>0</v>
      </c>
      <c r="G10" s="10">
        <f>IFERROR(_xlfn.NUMBERVALUE(SUBSTITUTE(VLOOKUP(TEXT(A10,"#"),'EXCEL SMX'!B:Q,16,0),",","."))/100,"0")*F10</f>
        <v>0</v>
      </c>
      <c r="H10" s="10">
        <f t="shared" si="1"/>
        <v>0</v>
      </c>
      <c r="K10" s="5"/>
    </row>
    <row r="11" spans="1:11">
      <c r="A11" s="50" t="s">
        <v>254</v>
      </c>
      <c r="B11" s="10" t="s">
        <v>39</v>
      </c>
      <c r="C11" s="19" t="str">
        <f>+IFERROR(VLOOKUP(TEXT(A11,"#"),'EXCEL SMX'!B:I,8,0),0)</f>
        <v>0012</v>
      </c>
      <c r="D11" s="19" t="str">
        <f>IFERROR(VLOOKUP(TEXT(A11,"#"),'EXCEL SMX'!B:S,18,0),0)</f>
        <v>000010</v>
      </c>
      <c r="E11" s="10">
        <f t="shared" si="0"/>
        <v>120</v>
      </c>
      <c r="F11" s="10">
        <f>IFERROR(_xlfn.NUMBERVALUE(SUBSTITUTE(VLOOKUP(TEXT(A11,"#"),'EXCEL SMX'!B:Q,9,0),",",".")),"0")*E11</f>
        <v>458.4</v>
      </c>
      <c r="G11" s="10">
        <f>IFERROR(_xlfn.NUMBERVALUE(SUBSTITUTE(VLOOKUP(TEXT(A11,"#"),'EXCEL SMX'!B:Q,16,0),",","."))/100,"0")*F11</f>
        <v>0</v>
      </c>
      <c r="H11" s="10">
        <f t="shared" si="1"/>
        <v>458.4</v>
      </c>
      <c r="K11" s="5"/>
    </row>
    <row r="12" spans="1:11">
      <c r="A12" s="50" t="s">
        <v>260</v>
      </c>
      <c r="B12" s="10" t="s">
        <v>69</v>
      </c>
      <c r="C12" s="19" t="str">
        <f>+IFERROR(VLOOKUP(TEXT(A12,"#"),'EXCEL SMX'!B:I,8,0),0)</f>
        <v>0012</v>
      </c>
      <c r="D12" s="19" t="str">
        <f>IFERROR(VLOOKUP(TEXT(A12,"#"),'EXCEL SMX'!B:S,18,0),0)</f>
        <v>000014</v>
      </c>
      <c r="E12" s="10">
        <f t="shared" si="0"/>
        <v>168</v>
      </c>
      <c r="F12" s="10">
        <f>IFERROR(_xlfn.NUMBERVALUE(SUBSTITUTE(VLOOKUP(TEXT(A12,"#"),'EXCEL SMX'!B:Q,9,0),",",".")),"0")*E12</f>
        <v>327.59999999999997</v>
      </c>
      <c r="G12" s="10">
        <f>IFERROR(_xlfn.NUMBERVALUE(SUBSTITUTE(VLOOKUP(TEXT(A12,"#"),'EXCEL SMX'!B:Q,16,0),",","."))/100,"0")*F12</f>
        <v>0</v>
      </c>
      <c r="H12" s="10">
        <f t="shared" si="1"/>
        <v>327.59999999999997</v>
      </c>
      <c r="K12" s="5"/>
    </row>
    <row r="13" spans="1:11">
      <c r="A13" s="92" t="s">
        <v>261</v>
      </c>
      <c r="B13" s="10" t="s">
        <v>72</v>
      </c>
      <c r="C13" s="19" t="str">
        <f>+IFERROR(VLOOKUP(TEXT(A13,"#"),'EXCEL SMX'!B:I,8,0),0)</f>
        <v>0012</v>
      </c>
      <c r="D13" s="19" t="str">
        <f>IFERROR(VLOOKUP(TEXT(A13,"#"),'EXCEL SMX'!B:S,18,0),0)</f>
        <v>000058</v>
      </c>
      <c r="E13" s="10">
        <f t="shared" si="0"/>
        <v>696</v>
      </c>
      <c r="F13" s="10">
        <f>IFERROR(_xlfn.NUMBERVALUE(SUBSTITUTE(VLOOKUP(TEXT(A13,"#"),'EXCEL SMX'!B:Q,9,0),",",".")),"0")*E13</f>
        <v>2923.2000000000003</v>
      </c>
      <c r="G13" s="10">
        <f>IFERROR(_xlfn.NUMBERVALUE(SUBSTITUTE(VLOOKUP(TEXT(A13,"#"),'EXCEL SMX'!B:Q,16,0),",","."))/100,"0")*F13</f>
        <v>584.6400000000001</v>
      </c>
      <c r="H13" s="10">
        <f t="shared" si="1"/>
        <v>2338.5600000000004</v>
      </c>
      <c r="K13" s="5"/>
    </row>
    <row r="14" spans="1:11">
      <c r="A14" s="50" t="s">
        <v>264</v>
      </c>
      <c r="B14" s="10" t="s">
        <v>71</v>
      </c>
      <c r="C14" s="19" t="str">
        <f>+IFERROR(VLOOKUP(TEXT(A14,"#"),'EXCEL SMX'!B:I,8,0),0)</f>
        <v>0018</v>
      </c>
      <c r="D14" s="19" t="str">
        <f>IFERROR(VLOOKUP(TEXT(A14,"#"),'EXCEL SMX'!B:S,18,0),0)</f>
        <v>000004</v>
      </c>
      <c r="E14" s="10">
        <f t="shared" si="0"/>
        <v>72</v>
      </c>
      <c r="F14" s="10">
        <f>IFERROR(_xlfn.NUMBERVALUE(SUBSTITUTE(VLOOKUP(TEXT(A14,"#"),'EXCEL SMX'!B:Q,9,0),",",".")),"0")*E14</f>
        <v>411.84</v>
      </c>
      <c r="G14" s="10">
        <f>IFERROR(_xlfn.NUMBERVALUE(SUBSTITUTE(VLOOKUP(TEXT(A14,"#"),'EXCEL SMX'!B:Q,16,0),",","."))/100,"0")*F14</f>
        <v>0</v>
      </c>
      <c r="H14" s="10">
        <f t="shared" si="1"/>
        <v>411.84</v>
      </c>
      <c r="K14" s="5"/>
    </row>
    <row r="15" spans="1:11">
      <c r="A15" s="50" t="s">
        <v>267</v>
      </c>
      <c r="B15" s="10" t="s">
        <v>55</v>
      </c>
      <c r="C15" s="19" t="str">
        <f>+IFERROR(VLOOKUP(TEXT(A15,"#"),'EXCEL SMX'!B:I,8,0),0)</f>
        <v>0012</v>
      </c>
      <c r="D15" s="19" t="str">
        <f>IFERROR(VLOOKUP(TEXT(A15,"#"),'EXCEL SMX'!B:S,18,0),0)</f>
        <v>000019</v>
      </c>
      <c r="E15" s="10">
        <f t="shared" si="0"/>
        <v>228</v>
      </c>
      <c r="F15" s="10">
        <f>IFERROR(_xlfn.NUMBERVALUE(SUBSTITUTE(VLOOKUP(TEXT(A15,"#"),'EXCEL SMX'!B:Q,9,0),",",".")),"0")*E15</f>
        <v>467.4</v>
      </c>
      <c r="G15" s="10">
        <f>IFERROR(_xlfn.NUMBERVALUE(SUBSTITUTE(VLOOKUP(TEXT(A15,"#"),'EXCEL SMX'!B:Q,16,0),",","."))/100,"0")*F15</f>
        <v>0</v>
      </c>
      <c r="H15" s="10">
        <f t="shared" si="1"/>
        <v>467.4</v>
      </c>
      <c r="K15" s="5"/>
    </row>
    <row r="16" spans="1:11">
      <c r="A16" s="50" t="s">
        <v>263</v>
      </c>
      <c r="B16" s="10" t="s">
        <v>56</v>
      </c>
      <c r="C16" s="19" t="str">
        <f>+IFERROR(VLOOKUP(TEXT(A16,"#"),'EXCEL SMX'!B:I,8,0),0)</f>
        <v>0018</v>
      </c>
      <c r="D16" s="19" t="str">
        <f>IFERROR(VLOOKUP(TEXT(A16,"#"),'EXCEL SMX'!B:S,18,0),0)</f>
        <v>000008</v>
      </c>
      <c r="E16" s="10">
        <f t="shared" si="0"/>
        <v>144</v>
      </c>
      <c r="F16" s="10">
        <f>IFERROR(_xlfn.NUMBERVALUE(SUBSTITUTE(VLOOKUP(TEXT(A16,"#"),'EXCEL SMX'!B:Q,9,0),",",".")),"0")*E16</f>
        <v>665.28</v>
      </c>
      <c r="G16" s="10">
        <f>IFERROR(_xlfn.NUMBERVALUE(SUBSTITUTE(VLOOKUP(TEXT(A16,"#"),'EXCEL SMX'!B:Q,16,0),",","."))/100,"0")*F16</f>
        <v>0</v>
      </c>
      <c r="H16" s="10">
        <f t="shared" si="1"/>
        <v>665.28</v>
      </c>
      <c r="K16" s="5"/>
    </row>
    <row r="17" spans="1:11">
      <c r="A17" s="50" t="s">
        <v>268</v>
      </c>
      <c r="B17" s="10" t="s">
        <v>57</v>
      </c>
      <c r="C17" s="19" t="str">
        <f>+IFERROR(VLOOKUP(TEXT(A17,"#"),'EXCEL SMX'!B:I,8,0),0)</f>
        <v>0018</v>
      </c>
      <c r="D17" s="19" t="str">
        <f>IFERROR(VLOOKUP(TEXT(A17,"#"),'EXCEL SMX'!B:S,18,0),0)</f>
        <v>000014</v>
      </c>
      <c r="E17" s="10">
        <f t="shared" si="0"/>
        <v>252</v>
      </c>
      <c r="F17" s="10">
        <f>IFERROR(_xlfn.NUMBERVALUE(SUBSTITUTE(VLOOKUP(TEXT(A17,"#"),'EXCEL SMX'!B:Q,9,0),",",".")),"0")*E17</f>
        <v>1575</v>
      </c>
      <c r="G17" s="10">
        <f>IFERROR(_xlfn.NUMBERVALUE(SUBSTITUTE(VLOOKUP(TEXT(A17,"#"),'EXCEL SMX'!B:Q,16,0),",","."))/100,"0")*F17</f>
        <v>315</v>
      </c>
      <c r="H17" s="10">
        <f t="shared" si="1"/>
        <v>1260</v>
      </c>
      <c r="K17" s="5"/>
    </row>
    <row r="18" spans="1:11">
      <c r="A18" s="50" t="s">
        <v>272</v>
      </c>
      <c r="B18" s="10" t="s">
        <v>63</v>
      </c>
      <c r="C18" s="19" t="str">
        <f>+IFERROR(VLOOKUP(TEXT(A18,"#"),'EXCEL SMX'!B:I,8,0),0)</f>
        <v>0018</v>
      </c>
      <c r="D18" s="19" t="str">
        <f>IFERROR(VLOOKUP(TEXT(A18,"#"),'EXCEL SMX'!B:S,18,0),0)</f>
        <v>000017</v>
      </c>
      <c r="E18" s="10">
        <f t="shared" si="0"/>
        <v>306</v>
      </c>
      <c r="F18" s="10">
        <f>IFERROR(_xlfn.NUMBERVALUE(SUBSTITUTE(VLOOKUP(TEXT(A18,"#"),'EXCEL SMX'!B:Q,9,0),",",".")),"0")*E18</f>
        <v>930.24</v>
      </c>
      <c r="G18" s="10">
        <f>IFERROR(_xlfn.NUMBERVALUE(SUBSTITUTE(VLOOKUP(TEXT(A18,"#"),'EXCEL SMX'!B:Q,16,0),",","."))/100,"0")*F18</f>
        <v>0</v>
      </c>
      <c r="H18" s="10">
        <f t="shared" si="1"/>
        <v>930.24</v>
      </c>
      <c r="K18" s="5"/>
    </row>
    <row r="19" spans="1:11">
      <c r="A19" s="50" t="s">
        <v>270</v>
      </c>
      <c r="B19" s="10" t="s">
        <v>65</v>
      </c>
      <c r="C19" s="19">
        <f>+IFERROR(VLOOKUP(TEXT(A19,"#"),'EXCEL SMX'!B:I,8,0),0)</f>
        <v>0</v>
      </c>
      <c r="D19" s="19">
        <f>IFERROR(VLOOKUP(TEXT(A19,"#"),'EXCEL SMX'!B:S,18,0),0)</f>
        <v>0</v>
      </c>
      <c r="E19" s="10">
        <f t="shared" si="0"/>
        <v>0</v>
      </c>
      <c r="F19" s="10">
        <f>IFERROR(_xlfn.NUMBERVALUE(SUBSTITUTE(VLOOKUP(TEXT(A19,"#"),'EXCEL SMX'!B:Q,9,0),",",".")),"0")*E19</f>
        <v>0</v>
      </c>
      <c r="G19" s="10">
        <f>IFERROR(_xlfn.NUMBERVALUE(SUBSTITUTE(VLOOKUP(TEXT(A19,"#"),'EXCEL SMX'!B:Q,16,0),",","."))/100,"0")*F19</f>
        <v>0</v>
      </c>
      <c r="H19" s="10">
        <f t="shared" si="1"/>
        <v>0</v>
      </c>
      <c r="K19" s="5"/>
    </row>
    <row r="20" spans="1:11">
      <c r="A20" s="50" t="s">
        <v>245</v>
      </c>
      <c r="B20" s="10" t="s">
        <v>66</v>
      </c>
      <c r="C20" s="19" t="str">
        <f>+IFERROR(VLOOKUP(TEXT(A20,"#"),'EXCEL SMX'!B:I,8,0),0)</f>
        <v>0024</v>
      </c>
      <c r="D20" s="19" t="str">
        <f>IFERROR(VLOOKUP(TEXT(A20,"#"),'EXCEL SMX'!B:S,18,0),0)</f>
        <v>000003</v>
      </c>
      <c r="E20" s="10">
        <f t="shared" si="0"/>
        <v>72</v>
      </c>
      <c r="F20" s="10">
        <f>IFERROR(_xlfn.NUMBERVALUE(SUBSTITUTE(VLOOKUP(TEXT(A20,"#"),'EXCEL SMX'!B:Q,9,0),",",".")),"0")*E20</f>
        <v>201.6</v>
      </c>
      <c r="G20" s="10">
        <f>IFERROR(_xlfn.NUMBERVALUE(SUBSTITUTE(VLOOKUP(TEXT(A20,"#"),'EXCEL SMX'!B:Q,16,0),",","."))/100,"0")*F20</f>
        <v>0</v>
      </c>
      <c r="H20" s="10">
        <f t="shared" si="1"/>
        <v>201.6</v>
      </c>
      <c r="K20" s="5"/>
    </row>
    <row r="21" spans="1:11">
      <c r="A21" s="50" t="s">
        <v>246</v>
      </c>
      <c r="B21" s="10" t="s">
        <v>67</v>
      </c>
      <c r="C21" s="19" t="str">
        <f>+IFERROR(VLOOKUP(TEXT(A21,"#"),'EXCEL SMX'!B:I,8,0),0)</f>
        <v>0012</v>
      </c>
      <c r="D21" s="19" t="str">
        <f>IFERROR(VLOOKUP(TEXT(A21,"#"),'EXCEL SMX'!B:S,18,0),0)</f>
        <v>000004</v>
      </c>
      <c r="E21" s="10">
        <f t="shared" si="0"/>
        <v>48</v>
      </c>
      <c r="F21" s="10">
        <f>IFERROR(_xlfn.NUMBERVALUE(SUBSTITUTE(VLOOKUP(TEXT(A21,"#"),'EXCEL SMX'!B:Q,9,0),",",".")),"0")*E21</f>
        <v>259.20000000000005</v>
      </c>
      <c r="G21" s="10">
        <f>IFERROR(_xlfn.NUMBERVALUE(SUBSTITUTE(VLOOKUP(TEXT(A21,"#"),'EXCEL SMX'!B:Q,16,0),",","."))/100,"0")*F21</f>
        <v>0</v>
      </c>
      <c r="H21" s="10">
        <f t="shared" si="1"/>
        <v>259.20000000000005</v>
      </c>
      <c r="K21" s="5"/>
    </row>
    <row r="22" spans="1:11">
      <c r="A22" s="50" t="s">
        <v>262</v>
      </c>
      <c r="B22" s="10" t="s">
        <v>59</v>
      </c>
      <c r="C22" s="19">
        <f>+IFERROR(VLOOKUP(TEXT(A22,"#"),'EXCEL SMX'!B:I,8,0),0)</f>
        <v>0</v>
      </c>
      <c r="D22" s="19">
        <f>IFERROR(VLOOKUP(TEXT(A22,"#"),'EXCEL SMX'!B:S,18,0),0)</f>
        <v>0</v>
      </c>
      <c r="E22" s="10">
        <f t="shared" si="0"/>
        <v>0</v>
      </c>
      <c r="F22" s="10">
        <f>IFERROR(_xlfn.NUMBERVALUE(SUBSTITUTE(VLOOKUP(TEXT(A22,"#"),'EXCEL SMX'!B:Q,9,0),",",".")),"0")*E22</f>
        <v>0</v>
      </c>
      <c r="G22" s="10">
        <f>IFERROR(_xlfn.NUMBERVALUE(SUBSTITUTE(VLOOKUP(TEXT(A22,"#"),'EXCEL SMX'!B:Q,16,0),",","."))/100,"0")*F22</f>
        <v>0</v>
      </c>
      <c r="H22" s="10">
        <f t="shared" si="1"/>
        <v>0</v>
      </c>
      <c r="K22" s="5"/>
    </row>
    <row r="23" spans="1:11">
      <c r="A23" s="50" t="s">
        <v>269</v>
      </c>
      <c r="B23" s="10" t="s">
        <v>60</v>
      </c>
      <c r="C23" s="19" t="str">
        <f>+IFERROR(VLOOKUP(TEXT(A23,"#"),'EXCEL SMX'!B:I,8,0),0)</f>
        <v>0012</v>
      </c>
      <c r="D23" s="19" t="str">
        <f>IFERROR(VLOOKUP(TEXT(A23,"#"),'EXCEL SMX'!B:S,18,0),0)</f>
        <v>000018</v>
      </c>
      <c r="E23" s="10">
        <f t="shared" si="0"/>
        <v>216</v>
      </c>
      <c r="F23" s="10">
        <f>IFERROR(_xlfn.NUMBERVALUE(SUBSTITUTE(VLOOKUP(TEXT(A23,"#"),'EXCEL SMX'!B:Q,9,0),",",".")),"0")*E23</f>
        <v>1015.2</v>
      </c>
      <c r="G23" s="10">
        <f>IFERROR(_xlfn.NUMBERVALUE(SUBSTITUTE(VLOOKUP(TEXT(A23,"#"),'EXCEL SMX'!B:Q,16,0),",","."))/100,"0")*F23</f>
        <v>0</v>
      </c>
      <c r="H23" s="10">
        <f t="shared" si="1"/>
        <v>1015.2</v>
      </c>
      <c r="K23" s="5"/>
    </row>
    <row r="24" spans="1:11">
      <c r="A24" s="50" t="s">
        <v>234</v>
      </c>
      <c r="B24" s="10" t="s">
        <v>61</v>
      </c>
      <c r="C24" s="19">
        <f>+IFERROR(VLOOKUP(TEXT(A24,"#"),'EXCEL SMX'!B:I,8,0),0)</f>
        <v>0</v>
      </c>
      <c r="D24" s="19">
        <f>IFERROR(VLOOKUP(TEXT(A24,"#"),'EXCEL SMX'!B:S,18,0),0)</f>
        <v>0</v>
      </c>
      <c r="E24" s="10">
        <f t="shared" si="0"/>
        <v>0</v>
      </c>
      <c r="F24" s="10">
        <f>IFERROR(_xlfn.NUMBERVALUE(SUBSTITUTE(VLOOKUP(TEXT(A24,"#"),'EXCEL SMX'!B:Q,9,0),",",".")),"0")*E24</f>
        <v>0</v>
      </c>
      <c r="G24" s="10">
        <f>IFERROR(_xlfn.NUMBERVALUE(SUBSTITUTE(VLOOKUP(TEXT(A24,"#"),'EXCEL SMX'!B:Q,16,0),",","."))/100,"0")*F24</f>
        <v>0</v>
      </c>
      <c r="H24" s="10">
        <f t="shared" si="1"/>
        <v>0</v>
      </c>
      <c r="K24" s="5"/>
    </row>
    <row r="25" spans="1:11">
      <c r="A25" s="50" t="s">
        <v>275</v>
      </c>
      <c r="B25" s="10" t="s">
        <v>64</v>
      </c>
      <c r="C25" s="19">
        <f>+IFERROR(VLOOKUP(TEXT(A25,"#"),'EXCEL SMX'!B:I,8,0),0)</f>
        <v>0</v>
      </c>
      <c r="D25" s="19">
        <f>IFERROR(VLOOKUP(TEXT(A25,"#"),'EXCEL SMX'!B:S,18,0),0)</f>
        <v>0</v>
      </c>
      <c r="E25" s="10">
        <f t="shared" si="0"/>
        <v>0</v>
      </c>
      <c r="F25" s="10">
        <f>IFERROR(_xlfn.NUMBERVALUE(SUBSTITUTE(VLOOKUP(TEXT(A25,"#"),'EXCEL SMX'!B:Q,9,0),",",".")),"0")*E25</f>
        <v>0</v>
      </c>
      <c r="G25" s="10">
        <f>IFERROR(_xlfn.NUMBERVALUE(SUBSTITUTE(VLOOKUP(TEXT(A25,"#"),'EXCEL SMX'!B:Q,16,0),",","."))/100,"0")*F25</f>
        <v>0</v>
      </c>
      <c r="H25" s="10">
        <f t="shared" si="1"/>
        <v>0</v>
      </c>
      <c r="K25" s="5"/>
    </row>
    <row r="26" spans="1:11">
      <c r="A26" s="50" t="s">
        <v>276</v>
      </c>
      <c r="B26" s="10" t="s">
        <v>58</v>
      </c>
      <c r="C26" s="19">
        <f>+IFERROR(VLOOKUP(TEXT(A26,"#"),'EXCEL SMX'!B:I,8,0),0)</f>
        <v>0</v>
      </c>
      <c r="D26" s="19">
        <f>IFERROR(VLOOKUP(TEXT(A26,"#"),'EXCEL SMX'!B:S,18,0),0)</f>
        <v>0</v>
      </c>
      <c r="E26" s="10">
        <f t="shared" si="0"/>
        <v>0</v>
      </c>
      <c r="F26" s="10">
        <f>IFERROR(_xlfn.NUMBERVALUE(SUBSTITUTE(VLOOKUP(TEXT(A26,"#"),'EXCEL SMX'!B:Q,9,0),",",".")),"0")*E26</f>
        <v>0</v>
      </c>
      <c r="G26" s="10">
        <f>IFERROR(_xlfn.NUMBERVALUE(SUBSTITUTE(VLOOKUP(TEXT(A26,"#"),'EXCEL SMX'!B:Q,16,0),",","."))/100,"0")*F26</f>
        <v>0</v>
      </c>
      <c r="H26" s="10">
        <f t="shared" si="1"/>
        <v>0</v>
      </c>
      <c r="K26" s="5"/>
    </row>
    <row r="27" spans="1:11">
      <c r="A27" s="50" t="s">
        <v>235</v>
      </c>
      <c r="B27" s="10" t="s">
        <v>22</v>
      </c>
      <c r="C27" s="19">
        <f>+IFERROR(VLOOKUP(TEXT(A27,"#"),'EXCEL SMX'!B:I,8,0),0)</f>
        <v>0</v>
      </c>
      <c r="D27" s="19">
        <f>IFERROR(VLOOKUP(TEXT(A27,"#"),'EXCEL SMX'!B:S,18,0),0)</f>
        <v>0</v>
      </c>
      <c r="E27" s="10">
        <f t="shared" si="0"/>
        <v>0</v>
      </c>
      <c r="F27" s="10">
        <f>IFERROR(_xlfn.NUMBERVALUE(SUBSTITUTE(VLOOKUP(TEXT(A27,"#"),'EXCEL SMX'!B:Q,9,0),",",".")),"0")*E27</f>
        <v>0</v>
      </c>
      <c r="G27" s="10">
        <f>IFERROR(_xlfn.NUMBERVALUE(SUBSTITUTE(VLOOKUP(TEXT(A27,"#"),'EXCEL SMX'!B:Q,16,0),",","."))/100,"0")*F27</f>
        <v>0</v>
      </c>
      <c r="H27" s="10">
        <f t="shared" si="1"/>
        <v>0</v>
      </c>
      <c r="K27" s="5"/>
    </row>
    <row r="28" spans="1:11">
      <c r="A28" s="50" t="s">
        <v>288</v>
      </c>
      <c r="B28" s="10" t="s">
        <v>23</v>
      </c>
      <c r="C28" s="19">
        <f>+IFERROR(VLOOKUP(TEXT(A28,"#"),'EXCEL SMX'!B:I,8,0),0)</f>
        <v>0</v>
      </c>
      <c r="D28" s="19">
        <f>IFERROR(VLOOKUP(TEXT(A28,"#"),'EXCEL SMX'!B:S,18,0),0)</f>
        <v>0</v>
      </c>
      <c r="E28" s="10">
        <f t="shared" si="0"/>
        <v>0</v>
      </c>
      <c r="F28" s="10">
        <f>IFERROR(_xlfn.NUMBERVALUE(SUBSTITUTE(VLOOKUP(TEXT(A28,"#"),'EXCEL SMX'!B:Q,9,0),",",".")),"0")*E28</f>
        <v>0</v>
      </c>
      <c r="G28" s="10">
        <f>IFERROR(_xlfn.NUMBERVALUE(SUBSTITUTE(VLOOKUP(TEXT(A28,"#"),'EXCEL SMX'!B:Q,16,0),",","."))/100,"0")*F28</f>
        <v>0</v>
      </c>
      <c r="H28" s="10">
        <f t="shared" si="1"/>
        <v>0</v>
      </c>
      <c r="K28" s="5"/>
    </row>
    <row r="29" spans="1:11">
      <c r="A29" s="50" t="s">
        <v>306</v>
      </c>
      <c r="B29" s="10" t="s">
        <v>25</v>
      </c>
      <c r="C29" s="19">
        <f>+IFERROR(VLOOKUP(TEXT(A29,"#"),'EXCEL SMX'!B:I,8,0),0)</f>
        <v>0</v>
      </c>
      <c r="D29" s="19">
        <f>IFERROR(VLOOKUP(TEXT(A29,"#"),'EXCEL SMX'!B:S,18,0),0)</f>
        <v>0</v>
      </c>
      <c r="E29" s="10">
        <f t="shared" si="0"/>
        <v>0</v>
      </c>
      <c r="F29" s="10">
        <f>IFERROR(_xlfn.NUMBERVALUE(SUBSTITUTE(VLOOKUP(TEXT(A29,"#"),'EXCEL SMX'!B:Q,9,0),",",".")),"0")*E29</f>
        <v>0</v>
      </c>
      <c r="G29" s="10">
        <f>IFERROR(_xlfn.NUMBERVALUE(SUBSTITUTE(VLOOKUP(TEXT(A29,"#"),'EXCEL SMX'!B:Q,16,0),",","."))/100,"0")*F29</f>
        <v>0</v>
      </c>
      <c r="H29" s="10">
        <f t="shared" si="1"/>
        <v>0</v>
      </c>
      <c r="K29" s="5"/>
    </row>
    <row r="30" spans="1:11">
      <c r="A30" s="50" t="s">
        <v>240</v>
      </c>
      <c r="B30" s="10" t="s">
        <v>26</v>
      </c>
      <c r="C30" s="19">
        <f>+IFERROR(VLOOKUP(TEXT(A30,"#"),'EXCEL SMX'!B:I,8,0),0)</f>
        <v>0</v>
      </c>
      <c r="D30" s="19">
        <f>IFERROR(VLOOKUP(TEXT(A30,"#"),'EXCEL SMX'!B:S,18,0),0)</f>
        <v>0</v>
      </c>
      <c r="E30" s="10">
        <f t="shared" si="0"/>
        <v>0</v>
      </c>
      <c r="F30" s="10">
        <f>IFERROR(_xlfn.NUMBERVALUE(SUBSTITUTE(VLOOKUP(TEXT(A30,"#"),'EXCEL SMX'!B:Q,9,0),",",".")),"0")*E30</f>
        <v>0</v>
      </c>
      <c r="G30" s="10">
        <f>IFERROR(_xlfn.NUMBERVALUE(SUBSTITUTE(VLOOKUP(TEXT(A30,"#"),'EXCEL SMX'!B:Q,16,0),",","."))/100,"0")*F30</f>
        <v>0</v>
      </c>
      <c r="H30" s="10">
        <f t="shared" si="1"/>
        <v>0</v>
      </c>
      <c r="K30" s="5"/>
    </row>
    <row r="31" spans="1:11">
      <c r="A31" s="50" t="s">
        <v>239</v>
      </c>
      <c r="B31" s="10" t="s">
        <v>30</v>
      </c>
      <c r="C31" s="19" t="str">
        <f>+IFERROR(VLOOKUP(TEXT(A31,"#"),'EXCEL SMX'!B:I,8,0),0)</f>
        <v>0012</v>
      </c>
      <c r="D31" s="19" t="str">
        <f>IFERROR(VLOOKUP(TEXT(A31,"#"),'EXCEL SMX'!B:S,18,0),0)</f>
        <v>000012</v>
      </c>
      <c r="E31" s="10">
        <f t="shared" si="0"/>
        <v>144</v>
      </c>
      <c r="F31" s="10">
        <f>IFERROR(_xlfn.NUMBERVALUE(SUBSTITUTE(VLOOKUP(TEXT(A31,"#"),'EXCEL SMX'!B:Q,9,0),",",".")),"0")*E31</f>
        <v>777.6</v>
      </c>
      <c r="G31" s="10">
        <f>IFERROR(_xlfn.NUMBERVALUE(SUBSTITUTE(VLOOKUP(TEXT(A31,"#"),'EXCEL SMX'!B:Q,16,0),",","."))/100,"0")*F31</f>
        <v>155.52000000000001</v>
      </c>
      <c r="H31" s="10">
        <f t="shared" si="1"/>
        <v>622.08000000000004</v>
      </c>
      <c r="K31" s="5"/>
    </row>
    <row r="32" spans="1:11">
      <c r="A32" s="50" t="s">
        <v>290</v>
      </c>
      <c r="B32" s="10" t="s">
        <v>31</v>
      </c>
      <c r="C32" s="19">
        <f>+IFERROR(VLOOKUP(TEXT(A32,"#"),'EXCEL SMX'!B:I,8,0),0)</f>
        <v>0</v>
      </c>
      <c r="D32" s="19">
        <f>IFERROR(VLOOKUP(TEXT(A32,"#"),'EXCEL SMX'!B:S,18,0),0)</f>
        <v>0</v>
      </c>
      <c r="E32" s="10">
        <f t="shared" si="0"/>
        <v>0</v>
      </c>
      <c r="F32" s="10">
        <f>IFERROR(_xlfn.NUMBERVALUE(SUBSTITUTE(VLOOKUP(TEXT(A32,"#"),'EXCEL SMX'!B:Q,9,0),",",".")),"0")*E32</f>
        <v>0</v>
      </c>
      <c r="G32" s="10">
        <f>IFERROR(_xlfn.NUMBERVALUE(SUBSTITUTE(VLOOKUP(TEXT(A32,"#"),'EXCEL SMX'!B:Q,16,0),",","."))/100,"0")*F32</f>
        <v>0</v>
      </c>
      <c r="H32" s="10">
        <f t="shared" si="1"/>
        <v>0</v>
      </c>
      <c r="K32" s="5"/>
    </row>
    <row r="33" spans="1:11">
      <c r="A33" s="50" t="s">
        <v>241</v>
      </c>
      <c r="B33" s="10" t="s">
        <v>34</v>
      </c>
      <c r="C33" s="19">
        <f>+IFERROR(VLOOKUP(TEXT(A33,"#"),'EXCEL SMX'!B:I,8,0),0)</f>
        <v>0</v>
      </c>
      <c r="D33" s="19">
        <f>IFERROR(VLOOKUP(TEXT(A33,"#"),'EXCEL SMX'!B:S,18,0),0)</f>
        <v>0</v>
      </c>
      <c r="E33" s="10">
        <f t="shared" si="0"/>
        <v>0</v>
      </c>
      <c r="F33" s="10">
        <f>IFERROR(_xlfn.NUMBERVALUE(SUBSTITUTE(VLOOKUP(TEXT(A33,"#"),'EXCEL SMX'!B:Q,9,0),",",".")),"0")*E33</f>
        <v>0</v>
      </c>
      <c r="G33" s="10">
        <f>IFERROR(_xlfn.NUMBERVALUE(SUBSTITUTE(VLOOKUP(TEXT(A33,"#"),'EXCEL SMX'!B:Q,16,0),",","."))/100,"0")*F33</f>
        <v>0</v>
      </c>
      <c r="H33" s="10">
        <f t="shared" si="1"/>
        <v>0</v>
      </c>
      <c r="K33" s="5"/>
    </row>
    <row r="34" spans="1:11" ht="14.25" customHeight="1">
      <c r="A34" s="50" t="s">
        <v>237</v>
      </c>
      <c r="B34" s="10" t="s">
        <v>44</v>
      </c>
      <c r="C34" s="19">
        <f>+IFERROR(VLOOKUP(TEXT(A34,"#"),'EXCEL SMX'!B:I,8,0),0)</f>
        <v>0</v>
      </c>
      <c r="D34" s="19">
        <f>IFERROR(VLOOKUP(TEXT(A34,"#"),'EXCEL SMX'!B:S,18,0),0)</f>
        <v>0</v>
      </c>
      <c r="E34" s="10">
        <f t="shared" si="0"/>
        <v>0</v>
      </c>
      <c r="F34" s="10">
        <f>IFERROR(_xlfn.NUMBERVALUE(SUBSTITUTE(VLOOKUP(TEXT(A34,"#"),'EXCEL SMX'!B:Q,9,0),",",".")),"0")*E34</f>
        <v>0</v>
      </c>
      <c r="G34" s="10">
        <f>IFERROR(_xlfn.NUMBERVALUE(SUBSTITUTE(VLOOKUP(TEXT(A34,"#"),'EXCEL SMX'!B:Q,16,0),",","."))/100,"0")*F34</f>
        <v>0</v>
      </c>
      <c r="H34" s="10">
        <f t="shared" si="1"/>
        <v>0</v>
      </c>
      <c r="K34" s="5"/>
    </row>
    <row r="35" spans="1:11" ht="14.25" customHeight="1">
      <c r="A35" s="50">
        <v>7861033002163</v>
      </c>
      <c r="B35" s="10" t="s">
        <v>384</v>
      </c>
      <c r="C35" s="19">
        <f>+IFERROR(VLOOKUP(TEXT(A35,"#"),'EXCEL SMX'!B:I,8,0),0)</f>
        <v>0</v>
      </c>
      <c r="D35" s="19">
        <f>IFERROR(VLOOKUP(TEXT(A35,"#"),'EXCEL SMX'!B:S,18,0),0)</f>
        <v>0</v>
      </c>
      <c r="E35" s="10">
        <f t="shared" si="0"/>
        <v>0</v>
      </c>
      <c r="F35" s="10">
        <f>IFERROR(_xlfn.NUMBERVALUE(SUBSTITUTE(VLOOKUP(TEXT(A35,"#"),'EXCEL SMX'!B:Q,9,0),",",".")),"0")*E35</f>
        <v>0</v>
      </c>
      <c r="G35" s="10">
        <f>IFERROR(_xlfn.NUMBERVALUE(SUBSTITUTE(VLOOKUP(TEXT(A35,"#"),'EXCEL SMX'!B:Q,16,0),",","."))/100,"0")*F35</f>
        <v>0</v>
      </c>
      <c r="H35" s="10">
        <f t="shared" si="1"/>
        <v>0</v>
      </c>
      <c r="K35" s="5"/>
    </row>
    <row r="36" spans="1:11">
      <c r="A36" s="50" t="s">
        <v>243</v>
      </c>
      <c r="B36" s="10" t="s">
        <v>52</v>
      </c>
      <c r="C36" s="19" t="str">
        <f>+IFERROR(VLOOKUP(TEXT(A36,"#"),'EXCEL SMX'!B:I,8,0),0)</f>
        <v>0024</v>
      </c>
      <c r="D36" s="19" t="str">
        <f>IFERROR(VLOOKUP(TEXT(A36,"#"),'EXCEL SMX'!B:S,18,0),0)</f>
        <v>000007</v>
      </c>
      <c r="E36" s="10">
        <f t="shared" si="0"/>
        <v>168</v>
      </c>
      <c r="F36" s="10">
        <f>IFERROR(_xlfn.NUMBERVALUE(SUBSTITUTE(VLOOKUP(TEXT(A36,"#"),'EXCEL SMX'!B:Q,9,0),",",".")),"0")*E36</f>
        <v>470.4</v>
      </c>
      <c r="G36" s="10">
        <f>IFERROR(_xlfn.NUMBERVALUE(SUBSTITUTE(VLOOKUP(TEXT(A36,"#"),'EXCEL SMX'!B:Q,16,0),",","."))/100,"0")*F36</f>
        <v>94.08</v>
      </c>
      <c r="H36" s="10">
        <f t="shared" si="1"/>
        <v>376.32</v>
      </c>
      <c r="K36" s="5"/>
    </row>
    <row r="37" spans="1:11">
      <c r="A37" s="50" t="s">
        <v>244</v>
      </c>
      <c r="B37" s="10" t="s">
        <v>45</v>
      </c>
      <c r="C37" s="19" t="str">
        <f>+IFERROR(VLOOKUP(TEXT(A37,"#"),'EXCEL SMX'!B:I,8,0),0)</f>
        <v>0012</v>
      </c>
      <c r="D37" s="19" t="str">
        <f>IFERROR(VLOOKUP(TEXT(A37,"#"),'EXCEL SMX'!B:S,18,0),0)</f>
        <v>000006</v>
      </c>
      <c r="E37" s="10">
        <f t="shared" si="0"/>
        <v>72</v>
      </c>
      <c r="F37" s="10">
        <f>IFERROR(_xlfn.NUMBERVALUE(SUBSTITUTE(VLOOKUP(TEXT(A37,"#"),'EXCEL SMX'!B:Q,9,0),",",".")),"0")*E37</f>
        <v>388.8</v>
      </c>
      <c r="G37" s="10">
        <f>IFERROR(_xlfn.NUMBERVALUE(SUBSTITUTE(VLOOKUP(TEXT(A37,"#"),'EXCEL SMX'!B:Q,16,0),",","."))/100,"0")*F37</f>
        <v>0</v>
      </c>
      <c r="H37" s="10">
        <f t="shared" si="1"/>
        <v>388.8</v>
      </c>
      <c r="K37" s="5"/>
    </row>
    <row r="38" spans="1:11">
      <c r="A38" s="50" t="s">
        <v>311</v>
      </c>
      <c r="B38" s="10" t="s">
        <v>53</v>
      </c>
      <c r="C38" s="19">
        <f>+IFERROR(VLOOKUP(TEXT(A38,"#"),'EXCEL SMX'!B:I,8,0),0)</f>
        <v>0</v>
      </c>
      <c r="D38" s="19">
        <f>IFERROR(VLOOKUP(TEXT(A38,"#"),'EXCEL SMX'!B:S,18,0),0)</f>
        <v>0</v>
      </c>
      <c r="E38" s="10">
        <f t="shared" si="0"/>
        <v>0</v>
      </c>
      <c r="F38" s="10">
        <f>IFERROR(_xlfn.NUMBERVALUE(SUBSTITUTE(VLOOKUP(TEXT(A38,"#"),'EXCEL SMX'!B:Q,9,0),",",".")),"0")*E38</f>
        <v>0</v>
      </c>
      <c r="G38" s="10">
        <f>IFERROR(_xlfn.NUMBERVALUE(SUBSTITUTE(VLOOKUP(TEXT(A38,"#"),'EXCEL SMX'!B:Q,16,0),",","."))/100,"0")*F38</f>
        <v>0</v>
      </c>
      <c r="H38" s="10">
        <f t="shared" si="1"/>
        <v>0</v>
      </c>
      <c r="K38" s="5"/>
    </row>
    <row r="39" spans="1:11">
      <c r="A39" s="50" t="s">
        <v>307</v>
      </c>
      <c r="B39" s="10" t="s">
        <v>77</v>
      </c>
      <c r="C39" s="19">
        <f>+IFERROR(VLOOKUP(TEXT(A39,"#"),'EXCEL SMX'!B:I,8,0),0)</f>
        <v>0</v>
      </c>
      <c r="D39" s="19">
        <f>IFERROR(VLOOKUP(TEXT(A39,"#"),'EXCEL SMX'!B:S,18,0),0)</f>
        <v>0</v>
      </c>
      <c r="E39" s="10">
        <f t="shared" si="0"/>
        <v>0</v>
      </c>
      <c r="F39" s="10">
        <f>IFERROR(_xlfn.NUMBERVALUE(SUBSTITUTE(VLOOKUP(TEXT(A39,"#"),'EXCEL SMX'!B:Q,9,0),",",".")),"0")*E39</f>
        <v>0</v>
      </c>
      <c r="G39" s="10">
        <f>IFERROR(_xlfn.NUMBERVALUE(SUBSTITUTE(VLOOKUP(TEXT(A39,"#"),'EXCEL SMX'!B:Q,16,0),",","."))/100,"0")*F39</f>
        <v>0</v>
      </c>
      <c r="H39" s="10">
        <f t="shared" si="1"/>
        <v>0</v>
      </c>
      <c r="K39" s="5"/>
    </row>
    <row r="40" spans="1:11">
      <c r="A40" s="50" t="s">
        <v>286</v>
      </c>
      <c r="B40" s="10" t="s">
        <v>24</v>
      </c>
      <c r="C40" s="19">
        <f>+IFERROR(VLOOKUP(TEXT(A40,"#"),'EXCEL SMX'!B:I,8,0),0)</f>
        <v>0</v>
      </c>
      <c r="D40" s="19">
        <f>IFERROR(VLOOKUP(TEXT(A40,"#"),'EXCEL SMX'!B:S,18,0),0)</f>
        <v>0</v>
      </c>
      <c r="E40" s="10">
        <f t="shared" si="0"/>
        <v>0</v>
      </c>
      <c r="F40" s="10">
        <f>IFERROR(_xlfn.NUMBERVALUE(SUBSTITUTE(VLOOKUP(TEXT(A40,"#"),'EXCEL SMX'!B:Q,9,0),",",".")),"0")*E40</f>
        <v>0</v>
      </c>
      <c r="G40" s="10">
        <f>IFERROR(_xlfn.NUMBERVALUE(SUBSTITUTE(VLOOKUP(TEXT(A40,"#"),'EXCEL SMX'!B:Q,16,0),",","."))/100,"0")*F40</f>
        <v>0</v>
      </c>
      <c r="H40" s="10">
        <f t="shared" si="1"/>
        <v>0</v>
      </c>
      <c r="K40" s="5"/>
    </row>
    <row r="41" spans="1:11">
      <c r="A41" s="50" t="s">
        <v>312</v>
      </c>
      <c r="B41" s="10" t="s">
        <v>47</v>
      </c>
      <c r="C41" s="19">
        <f>+IFERROR(VLOOKUP(TEXT(A41,"#"),'EXCEL SMX'!B:I,8,0),0)</f>
        <v>0</v>
      </c>
      <c r="D41" s="19">
        <f>IFERROR(VLOOKUP(TEXT(A41,"#"),'EXCEL SMX'!B:S,18,0),0)</f>
        <v>0</v>
      </c>
      <c r="E41" s="10">
        <f t="shared" si="0"/>
        <v>0</v>
      </c>
      <c r="F41" s="10">
        <f>IFERROR(_xlfn.NUMBERVALUE(SUBSTITUTE(VLOOKUP(TEXT(A41,"#"),'EXCEL SMX'!B:Q,9,0),",",".")),"0")*E41</f>
        <v>0</v>
      </c>
      <c r="G41" s="10">
        <f>IFERROR(_xlfn.NUMBERVALUE(SUBSTITUTE(VLOOKUP(TEXT(A41,"#"),'EXCEL SMX'!B:Q,16,0),",","."))/100,"0")*F41</f>
        <v>0</v>
      </c>
      <c r="H41" s="10">
        <f t="shared" si="1"/>
        <v>0</v>
      </c>
      <c r="K41" s="5"/>
    </row>
    <row r="42" spans="1:11">
      <c r="A42" s="50" t="s">
        <v>233</v>
      </c>
      <c r="B42" s="10" t="s">
        <v>51</v>
      </c>
      <c r="C42" s="19">
        <f>+IFERROR(VLOOKUP(TEXT(A42,"#"),'EXCEL SMX'!B:I,8,0),0)</f>
        <v>0</v>
      </c>
      <c r="D42" s="19">
        <f>IFERROR(VLOOKUP(TEXT(A42,"#"),'EXCEL SMX'!B:S,18,0),0)</f>
        <v>0</v>
      </c>
      <c r="E42" s="10">
        <f t="shared" si="0"/>
        <v>0</v>
      </c>
      <c r="F42" s="10">
        <f>IFERROR(_xlfn.NUMBERVALUE(SUBSTITUTE(VLOOKUP(TEXT(A42,"#"),'EXCEL SMX'!B:Q,9,0),",",".")),"0")*E42</f>
        <v>0</v>
      </c>
      <c r="G42" s="10">
        <f>IFERROR(_xlfn.NUMBERVALUE(SUBSTITUTE(VLOOKUP(TEXT(A42,"#"),'EXCEL SMX'!B:Q,16,0),",","."))/100,"0")*F42</f>
        <v>0</v>
      </c>
      <c r="H42" s="10">
        <f t="shared" si="1"/>
        <v>0</v>
      </c>
      <c r="K42" s="5"/>
    </row>
    <row r="43" spans="1:11">
      <c r="A43" s="50" t="s">
        <v>308</v>
      </c>
      <c r="B43" s="10" t="s">
        <v>28</v>
      </c>
      <c r="C43" s="19">
        <f>+IFERROR(VLOOKUP(TEXT(A43,"#"),'EXCEL SMX'!B:I,8,0),0)</f>
        <v>0</v>
      </c>
      <c r="D43" s="19">
        <f>IFERROR(VLOOKUP(TEXT(A43,"#"),'EXCEL SMX'!B:S,18,0),0)</f>
        <v>0</v>
      </c>
      <c r="E43" s="10">
        <f t="shared" si="0"/>
        <v>0</v>
      </c>
      <c r="F43" s="10">
        <f>IFERROR(_xlfn.NUMBERVALUE(SUBSTITUTE(VLOOKUP(TEXT(A43,"#"),'EXCEL SMX'!B:Q,9,0),",",".")),"0")*E43</f>
        <v>0</v>
      </c>
      <c r="G43" s="10">
        <f>IFERROR(_xlfn.NUMBERVALUE(SUBSTITUTE(VLOOKUP(TEXT(A43,"#"),'EXCEL SMX'!B:Q,16,0),",","."))/100,"0")*F43</f>
        <v>0</v>
      </c>
      <c r="H43" s="10">
        <f t="shared" si="1"/>
        <v>0</v>
      </c>
      <c r="K43" s="5"/>
    </row>
    <row r="44" spans="1:11">
      <c r="A44" s="50" t="s">
        <v>242</v>
      </c>
      <c r="B44" s="10" t="s">
        <v>46</v>
      </c>
      <c r="C44" s="19">
        <f>+IFERROR(VLOOKUP(TEXT(A44,"#"),'EXCEL SMX'!B:I,8,0),0)</f>
        <v>0</v>
      </c>
      <c r="D44" s="19">
        <f>IFERROR(VLOOKUP(TEXT(A44,"#"),'EXCEL SMX'!B:S,18,0),0)</f>
        <v>0</v>
      </c>
      <c r="E44" s="10">
        <f t="shared" si="0"/>
        <v>0</v>
      </c>
      <c r="F44" s="10">
        <f>IFERROR(_xlfn.NUMBERVALUE(SUBSTITUTE(VLOOKUP(TEXT(A44,"#"),'EXCEL SMX'!B:Q,9,0),",",".")),"0")*E44</f>
        <v>0</v>
      </c>
      <c r="G44" s="10">
        <f>IFERROR(_xlfn.NUMBERVALUE(SUBSTITUTE(VLOOKUP(TEXT(A44,"#"),'EXCEL SMX'!B:Q,16,0),",","."))/100,"0")*F44</f>
        <v>0</v>
      </c>
      <c r="H44" s="10">
        <f t="shared" si="1"/>
        <v>0</v>
      </c>
      <c r="K44" s="5"/>
    </row>
    <row r="45" spans="1:11">
      <c r="A45" s="50" t="s">
        <v>238</v>
      </c>
      <c r="B45" s="10" t="s">
        <v>29</v>
      </c>
      <c r="C45" s="19" t="str">
        <f>+IFERROR(VLOOKUP(TEXT(A45,"#"),'EXCEL SMX'!B:I,8,0),0)</f>
        <v>0024</v>
      </c>
      <c r="D45" s="19" t="str">
        <f>IFERROR(VLOOKUP(TEXT(A45,"#"),'EXCEL SMX'!B:S,18,0),0)</f>
        <v>000005</v>
      </c>
      <c r="E45" s="10">
        <f t="shared" si="0"/>
        <v>120</v>
      </c>
      <c r="F45" s="10">
        <f>IFERROR(_xlfn.NUMBERVALUE(SUBSTITUTE(VLOOKUP(TEXT(A45,"#"),'EXCEL SMX'!B:Q,9,0),",",".")),"0")*E45</f>
        <v>334.8</v>
      </c>
      <c r="G45" s="10">
        <f>IFERROR(_xlfn.NUMBERVALUE(SUBSTITUTE(VLOOKUP(TEXT(A45,"#"),'EXCEL SMX'!B:Q,16,0),",","."))/100,"0")*F45</f>
        <v>0</v>
      </c>
      <c r="H45" s="10">
        <f t="shared" si="1"/>
        <v>334.8</v>
      </c>
      <c r="K45" s="5"/>
    </row>
    <row r="46" spans="1:11">
      <c r="A46" s="50" t="s">
        <v>282</v>
      </c>
      <c r="B46" s="10" t="s">
        <v>20</v>
      </c>
      <c r="C46" s="19">
        <f>+IFERROR(VLOOKUP(TEXT(A46,"#"),'EXCEL SMX'!B:I,8,0),0)</f>
        <v>0</v>
      </c>
      <c r="D46" s="19">
        <f>IFERROR(VLOOKUP(TEXT(A46,"#"),'EXCEL SMX'!B:S,18,0),0)</f>
        <v>0</v>
      </c>
      <c r="E46" s="10">
        <f t="shared" si="0"/>
        <v>0</v>
      </c>
      <c r="F46" s="10">
        <f>IFERROR(_xlfn.NUMBERVALUE(SUBSTITUTE(VLOOKUP(TEXT(A46,"#"),'EXCEL SMX'!B:Q,9,0),",",".")),"0")*E46</f>
        <v>0</v>
      </c>
      <c r="G46" s="10">
        <f>IFERROR(_xlfn.NUMBERVALUE(SUBSTITUTE(VLOOKUP(TEXT(A46,"#"),'EXCEL SMX'!B:Q,16,0),",","."))/100,"0")*F46</f>
        <v>0</v>
      </c>
      <c r="H46" s="10">
        <f t="shared" si="1"/>
        <v>0</v>
      </c>
      <c r="K46" s="5"/>
    </row>
    <row r="47" spans="1:11">
      <c r="A47" s="50" t="s">
        <v>283</v>
      </c>
      <c r="B47" s="10" t="s">
        <v>21</v>
      </c>
      <c r="C47" s="19">
        <f>+IFERROR(VLOOKUP(TEXT(A47,"#"),'EXCEL SMX'!B:I,8,0),0)</f>
        <v>0</v>
      </c>
      <c r="D47" s="19">
        <f>IFERROR(VLOOKUP(TEXT(A47,"#"),'EXCEL SMX'!B:S,18,0),0)</f>
        <v>0</v>
      </c>
      <c r="E47" s="10">
        <f t="shared" si="0"/>
        <v>0</v>
      </c>
      <c r="F47" s="10">
        <f>IFERROR(_xlfn.NUMBERVALUE(SUBSTITUTE(VLOOKUP(TEXT(A47,"#"),'EXCEL SMX'!B:Q,9,0),",",".")),"0")*E47</f>
        <v>0</v>
      </c>
      <c r="G47" s="10">
        <f>IFERROR(_xlfn.NUMBERVALUE(SUBSTITUTE(VLOOKUP(TEXT(A47,"#"),'EXCEL SMX'!B:Q,16,0),",","."))/100,"0")*F47</f>
        <v>0</v>
      </c>
      <c r="H47" s="10">
        <f t="shared" si="1"/>
        <v>0</v>
      </c>
      <c r="K47" s="5"/>
    </row>
    <row r="48" spans="1:11">
      <c r="A48" s="50" t="s">
        <v>278</v>
      </c>
      <c r="B48" s="10" t="s">
        <v>54</v>
      </c>
      <c r="C48" s="19" t="str">
        <f>+IFERROR(VLOOKUP(TEXT(A48,"#"),'EXCEL SMX'!B:I,8,0),0)</f>
        <v>0012</v>
      </c>
      <c r="D48" s="19" t="str">
        <f>IFERROR(VLOOKUP(TEXT(A48,"#"),'EXCEL SMX'!B:S,18,0),0)</f>
        <v>000005</v>
      </c>
      <c r="E48" s="10">
        <f t="shared" si="0"/>
        <v>60</v>
      </c>
      <c r="F48" s="10">
        <f>IFERROR(_xlfn.NUMBERVALUE(SUBSTITUTE(VLOOKUP(TEXT(A48,"#"),'EXCEL SMX'!B:Q,9,0),",",".")),"0")*E48</f>
        <v>114</v>
      </c>
      <c r="G48" s="10">
        <f>IFERROR(_xlfn.NUMBERVALUE(SUBSTITUTE(VLOOKUP(TEXT(A48,"#"),'EXCEL SMX'!B:Q,16,0),",","."))/100,"0")*F48</f>
        <v>0</v>
      </c>
      <c r="H48" s="10">
        <f t="shared" si="1"/>
        <v>114</v>
      </c>
      <c r="K48" s="5"/>
    </row>
    <row r="49" spans="1:11">
      <c r="A49" s="50" t="s">
        <v>372</v>
      </c>
      <c r="B49" s="10" t="s">
        <v>371</v>
      </c>
      <c r="C49" s="19" t="str">
        <f>+IFERROR(VLOOKUP(TEXT(A49,"#"),'EXCEL SMX'!B:I,8,0),0)</f>
        <v>0012</v>
      </c>
      <c r="D49" s="19" t="str">
        <f>IFERROR(VLOOKUP(TEXT(A49,"#"),'EXCEL SMX'!B:S,18,0),0)</f>
        <v>000013</v>
      </c>
      <c r="E49" s="10">
        <f t="shared" si="0"/>
        <v>156</v>
      </c>
      <c r="F49" s="10">
        <f>IFERROR(_xlfn.NUMBERVALUE(SUBSTITUTE(VLOOKUP(TEXT(A49,"#"),'EXCEL SMX'!B:Q,9,0),",",".")),"0")*E49</f>
        <v>302.64</v>
      </c>
      <c r="G49" s="10">
        <f>IFERROR(_xlfn.NUMBERVALUE(SUBSTITUTE(VLOOKUP(TEXT(A49,"#"),'EXCEL SMX'!B:Q,16,0),",","."))/100,"0")*F49</f>
        <v>0</v>
      </c>
      <c r="H49" s="10">
        <f t="shared" si="1"/>
        <v>302.64</v>
      </c>
      <c r="K49" s="5"/>
    </row>
    <row r="50" spans="1:11">
      <c r="A50" s="50" t="s">
        <v>287</v>
      </c>
      <c r="B50" s="10" t="s">
        <v>32</v>
      </c>
      <c r="C50" s="19" t="str">
        <f>+IFERROR(VLOOKUP(TEXT(A50,"#"),'EXCEL SMX'!B:I,8,0),0)</f>
        <v>0012</v>
      </c>
      <c r="D50" s="19" t="str">
        <f>IFERROR(VLOOKUP(TEXT(A50,"#"),'EXCEL SMX'!B:S,18,0),0)</f>
        <v>000001</v>
      </c>
      <c r="E50" s="10">
        <f t="shared" si="0"/>
        <v>12</v>
      </c>
      <c r="F50" s="10">
        <f>IFERROR(_xlfn.NUMBERVALUE(SUBSTITUTE(VLOOKUP(TEXT(A50,"#"),'EXCEL SMX'!B:Q,9,0),",",".")),"0")*E50</f>
        <v>23.28</v>
      </c>
      <c r="G50" s="10">
        <f>IFERROR(_xlfn.NUMBERVALUE(SUBSTITUTE(VLOOKUP(TEXT(A50,"#"),'EXCEL SMX'!B:Q,16,0),",","."))/100,"0")*F50</f>
        <v>0</v>
      </c>
      <c r="H50" s="10">
        <f t="shared" si="1"/>
        <v>23.28</v>
      </c>
      <c r="K50" s="5"/>
    </row>
    <row r="51" spans="1:11">
      <c r="A51" s="50" t="s">
        <v>281</v>
      </c>
      <c r="B51" s="10" t="s">
        <v>74</v>
      </c>
      <c r="C51" s="19" t="str">
        <f>+IFERROR(VLOOKUP(TEXT(A51,"#"),'EXCEL SMX'!B:I,8,0),0)</f>
        <v>0012</v>
      </c>
      <c r="D51" s="19" t="str">
        <f>IFERROR(VLOOKUP(TEXT(A51,"#"),'EXCEL SMX'!B:S,18,0),0)</f>
        <v>000015</v>
      </c>
      <c r="E51" s="10">
        <f t="shared" si="0"/>
        <v>180</v>
      </c>
      <c r="F51" s="10">
        <f>IFERROR(_xlfn.NUMBERVALUE(SUBSTITUTE(VLOOKUP(TEXT(A51,"#"),'EXCEL SMX'!B:Q,9,0),",",".")),"0")*E51</f>
        <v>333</v>
      </c>
      <c r="G51" s="10">
        <f>IFERROR(_xlfn.NUMBERVALUE(SUBSTITUTE(VLOOKUP(TEXT(A51,"#"),'EXCEL SMX'!B:Q,16,0),",","."))/100,"0")*F51</f>
        <v>66.600000000000009</v>
      </c>
      <c r="H51" s="10">
        <f t="shared" si="1"/>
        <v>266.39999999999998</v>
      </c>
      <c r="K51" s="5"/>
    </row>
    <row r="52" spans="1:11">
      <c r="A52" s="50" t="s">
        <v>279</v>
      </c>
      <c r="B52" s="10" t="s">
        <v>75</v>
      </c>
      <c r="C52" s="19" t="str">
        <f>+IFERROR(VLOOKUP(TEXT(A52,"#"),'EXCEL SMX'!B:I,8,0),0)</f>
        <v>0014</v>
      </c>
      <c r="D52" s="19" t="str">
        <f>IFERROR(VLOOKUP(TEXT(A52,"#"),'EXCEL SMX'!B:S,18,0),0)</f>
        <v>000005</v>
      </c>
      <c r="E52" s="10">
        <f t="shared" si="0"/>
        <v>70</v>
      </c>
      <c r="F52" s="10">
        <f>IFERROR(_xlfn.NUMBERVALUE(SUBSTITUTE(VLOOKUP(TEXT(A52,"#"),'EXCEL SMX'!B:Q,9,0),",",".")),"0")*E52</f>
        <v>232.39999999999998</v>
      </c>
      <c r="G52" s="10">
        <f>IFERROR(_xlfn.NUMBERVALUE(SUBSTITUTE(VLOOKUP(TEXT(A52,"#"),'EXCEL SMX'!B:Q,16,0),",","."))/100,"0")*F52</f>
        <v>0</v>
      </c>
      <c r="H52" s="10">
        <f t="shared" si="1"/>
        <v>232.39999999999998</v>
      </c>
      <c r="K52" s="5"/>
    </row>
    <row r="53" spans="1:11">
      <c r="A53" s="50" t="s">
        <v>265</v>
      </c>
      <c r="B53" s="10" t="s">
        <v>62</v>
      </c>
      <c r="C53" s="19">
        <f>+IFERROR(VLOOKUP(TEXT(A53,"#"),'EXCEL SMX'!B:I,8,0),0)</f>
        <v>0</v>
      </c>
      <c r="D53" s="19">
        <f>IFERROR(VLOOKUP(TEXT(A53,"#"),'EXCEL SMX'!B:S,18,0),0)</f>
        <v>0</v>
      </c>
      <c r="E53" s="10">
        <f t="shared" si="0"/>
        <v>0</v>
      </c>
      <c r="F53" s="10">
        <f>IFERROR(_xlfn.NUMBERVALUE(SUBSTITUTE(VLOOKUP(TEXT(A53,"#"),'EXCEL SMX'!B:Q,9,0),",",".")),"0")*E53</f>
        <v>0</v>
      </c>
      <c r="G53" s="10">
        <f>IFERROR(_xlfn.NUMBERVALUE(SUBSTITUTE(VLOOKUP(TEXT(A53,"#"),'EXCEL SMX'!B:Q,16,0),",","."))/100,"0")*F53</f>
        <v>0</v>
      </c>
      <c r="H53" s="10">
        <f t="shared" si="1"/>
        <v>0</v>
      </c>
      <c r="K53" s="5"/>
    </row>
    <row r="54" spans="1:11">
      <c r="A54" s="50" t="s">
        <v>266</v>
      </c>
      <c r="B54" s="10" t="s">
        <v>78</v>
      </c>
      <c r="C54" s="19" t="str">
        <f>+IFERROR(VLOOKUP(TEXT(A54,"#"),'EXCEL SMX'!B:I,8,0),0)</f>
        <v>0012</v>
      </c>
      <c r="D54" s="19" t="str">
        <f>IFERROR(VLOOKUP(TEXT(A54,"#"),'EXCEL SMX'!B:S,18,0),0)</f>
        <v>000048</v>
      </c>
      <c r="E54" s="10">
        <f t="shared" si="0"/>
        <v>576</v>
      </c>
      <c r="F54" s="10">
        <f>IFERROR(_xlfn.NUMBERVALUE(SUBSTITUTE(VLOOKUP(TEXT(A54,"#"),'EXCEL SMX'!B:Q,9,0),",",".")),"0")*E54</f>
        <v>4083.84</v>
      </c>
      <c r="G54" s="10">
        <f>IFERROR(_xlfn.NUMBERVALUE(SUBSTITUTE(VLOOKUP(TEXT(A54,"#"),'EXCEL SMX'!B:Q,16,0),",","."))/100,"0")*F54</f>
        <v>816.76800000000003</v>
      </c>
      <c r="H54" s="10">
        <f t="shared" si="1"/>
        <v>3267.0720000000001</v>
      </c>
      <c r="K54" s="5"/>
    </row>
    <row r="55" spans="1:11">
      <c r="A55" s="50" t="s">
        <v>271</v>
      </c>
      <c r="B55" s="10" t="s">
        <v>79</v>
      </c>
      <c r="C55" s="19" t="str">
        <f>+IFERROR(VLOOKUP(TEXT(A55,"#"),'EXCEL SMX'!B:I,8,0),0)</f>
        <v>0012</v>
      </c>
      <c r="D55" s="19" t="str">
        <f>IFERROR(VLOOKUP(TEXT(A55,"#"),'EXCEL SMX'!B:S,18,0),0)</f>
        <v>000006</v>
      </c>
      <c r="E55" s="10">
        <f t="shared" si="0"/>
        <v>72</v>
      </c>
      <c r="F55" s="10">
        <f>IFERROR(_xlfn.NUMBERVALUE(SUBSTITUTE(VLOOKUP(TEXT(A55,"#"),'EXCEL SMX'!B:Q,9,0),",",".")),"0")*E55</f>
        <v>432</v>
      </c>
      <c r="G55" s="10">
        <f>IFERROR(_xlfn.NUMBERVALUE(SUBSTITUTE(VLOOKUP(TEXT(A55,"#"),'EXCEL SMX'!B:Q,16,0),",","."))/100,"0")*F55</f>
        <v>0</v>
      </c>
      <c r="H55" s="10">
        <f t="shared" si="1"/>
        <v>432</v>
      </c>
      <c r="K55" s="5"/>
    </row>
    <row r="56" spans="1:11">
      <c r="A56" s="50" t="s">
        <v>277</v>
      </c>
      <c r="B56" s="10" t="s">
        <v>80</v>
      </c>
      <c r="C56" s="19" t="str">
        <f>+IFERROR(VLOOKUP(TEXT(A56,"#"),'EXCEL SMX'!B:I,8,0),0)</f>
        <v>0014</v>
      </c>
      <c r="D56" s="19" t="str">
        <f>IFERROR(VLOOKUP(TEXT(A56,"#"),'EXCEL SMX'!B:S,18,0),0)</f>
        <v>000002</v>
      </c>
      <c r="E56" s="10">
        <f t="shared" si="0"/>
        <v>28</v>
      </c>
      <c r="F56" s="10">
        <f>IFERROR(_xlfn.NUMBERVALUE(SUBSTITUTE(VLOOKUP(TEXT(A56,"#"),'EXCEL SMX'!B:Q,9,0),",",".")),"0")*E56</f>
        <v>98</v>
      </c>
      <c r="G56" s="10">
        <f>IFERROR(_xlfn.NUMBERVALUE(SUBSTITUTE(VLOOKUP(TEXT(A56,"#"),'EXCEL SMX'!B:Q,16,0),",","."))/100,"0")*F56</f>
        <v>0</v>
      </c>
      <c r="H56" s="10">
        <f t="shared" si="1"/>
        <v>98</v>
      </c>
      <c r="K56" s="5"/>
    </row>
    <row r="57" spans="1:11">
      <c r="A57" s="50" t="s">
        <v>289</v>
      </c>
      <c r="B57" s="10" t="s">
        <v>81</v>
      </c>
      <c r="C57" s="19">
        <f>+IFERROR(VLOOKUP(TEXT(A57,"#"),'EXCEL SMX'!B:I,8,0),0)</f>
        <v>0</v>
      </c>
      <c r="D57" s="19">
        <f>IFERROR(VLOOKUP(TEXT(A57,"#"),'EXCEL SMX'!B:S,18,0),0)</f>
        <v>0</v>
      </c>
      <c r="E57" s="10">
        <f t="shared" si="0"/>
        <v>0</v>
      </c>
      <c r="F57" s="10">
        <f>IFERROR(_xlfn.NUMBERVALUE(SUBSTITUTE(VLOOKUP(TEXT(A57,"#"),'EXCEL SMX'!B:Q,9,0),",",".")),"0")*E57</f>
        <v>0</v>
      </c>
      <c r="G57" s="10">
        <f>IFERROR(_xlfn.NUMBERVALUE(SUBSTITUTE(VLOOKUP(TEXT(A57,"#"),'EXCEL SMX'!B:Q,16,0),",","."))/100,"0")*F57</f>
        <v>0</v>
      </c>
      <c r="H57" s="10">
        <f t="shared" si="1"/>
        <v>0</v>
      </c>
      <c r="K57" s="5"/>
    </row>
    <row r="58" spans="1:11">
      <c r="A58" s="50" t="s">
        <v>236</v>
      </c>
      <c r="B58" s="10" t="s">
        <v>82</v>
      </c>
      <c r="C58" s="19">
        <f>+IFERROR(VLOOKUP(TEXT(A58,"#"),'EXCEL SMX'!B:I,8,0),0)</f>
        <v>0</v>
      </c>
      <c r="D58" s="19">
        <f>IFERROR(VLOOKUP(TEXT(A58,"#"),'EXCEL SMX'!B:S,18,0),0)</f>
        <v>0</v>
      </c>
      <c r="E58" s="10">
        <f t="shared" si="0"/>
        <v>0</v>
      </c>
      <c r="F58" s="10">
        <f>IFERROR(_xlfn.NUMBERVALUE(SUBSTITUTE(VLOOKUP(TEXT(A58,"#"),'EXCEL SMX'!B:Q,9,0),",",".")),"0")*E58</f>
        <v>0</v>
      </c>
      <c r="G58" s="10">
        <f>IFERROR(_xlfn.NUMBERVALUE(SUBSTITUTE(VLOOKUP(TEXT(A58,"#"),'EXCEL SMX'!B:Q,16,0),",","."))/100,"0")*F58</f>
        <v>0</v>
      </c>
      <c r="H58" s="10">
        <f t="shared" si="1"/>
        <v>0</v>
      </c>
      <c r="K58" s="5"/>
    </row>
    <row r="59" spans="1:11">
      <c r="A59" s="50" t="s">
        <v>305</v>
      </c>
      <c r="B59" s="10" t="s">
        <v>83</v>
      </c>
      <c r="C59" s="19">
        <f>+IFERROR(VLOOKUP(TEXT(A59,"#"),'EXCEL SMX'!B:I,8,0),0)</f>
        <v>0</v>
      </c>
      <c r="D59" s="19">
        <f>IFERROR(VLOOKUP(TEXT(A59,"#"),'EXCEL SMX'!B:S,18,0),0)</f>
        <v>0</v>
      </c>
      <c r="E59" s="10">
        <f t="shared" si="0"/>
        <v>0</v>
      </c>
      <c r="F59" s="10">
        <f>IFERROR(_xlfn.NUMBERVALUE(SUBSTITUTE(VLOOKUP(TEXT(A59,"#"),'EXCEL SMX'!B:Q,9,0),",",".")),"0")*E59</f>
        <v>0</v>
      </c>
      <c r="G59" s="10">
        <f>IFERROR(_xlfn.NUMBERVALUE(SUBSTITUTE(VLOOKUP(TEXT(A59,"#"),'EXCEL SMX'!B:Q,16,0),",","."))/100,"0")*F59</f>
        <v>0</v>
      </c>
      <c r="H59" s="10">
        <f t="shared" si="1"/>
        <v>0</v>
      </c>
      <c r="K59" s="5"/>
    </row>
    <row r="60" spans="1:11">
      <c r="A60" s="50" t="s">
        <v>284</v>
      </c>
      <c r="B60" s="10" t="s">
        <v>84</v>
      </c>
      <c r="C60" s="19">
        <f>+IFERROR(VLOOKUP(TEXT(A60,"#"),'EXCEL SMX'!B:I,8,0),0)</f>
        <v>0</v>
      </c>
      <c r="D60" s="19">
        <f>IFERROR(VLOOKUP(TEXT(A60,"#"),'EXCEL SMX'!B:S,18,0),0)</f>
        <v>0</v>
      </c>
      <c r="E60" s="10">
        <f t="shared" si="0"/>
        <v>0</v>
      </c>
      <c r="F60" s="10">
        <f>IFERROR(_xlfn.NUMBERVALUE(SUBSTITUTE(VLOOKUP(TEXT(A60,"#"),'EXCEL SMX'!B:Q,9,0),",",".")),"0")*E60</f>
        <v>0</v>
      </c>
      <c r="G60" s="10">
        <f>IFERROR(_xlfn.NUMBERVALUE(SUBSTITUTE(VLOOKUP(TEXT(A60,"#"),'EXCEL SMX'!B:Q,16,0),",","."))/100,"0")*F60</f>
        <v>0</v>
      </c>
      <c r="H60" s="10">
        <f t="shared" si="1"/>
        <v>0</v>
      </c>
      <c r="K60" s="5"/>
    </row>
    <row r="61" spans="1:11">
      <c r="A61" s="50">
        <v>7861033003078</v>
      </c>
      <c r="B61" s="10" t="s">
        <v>400</v>
      </c>
      <c r="C61" s="19" t="str">
        <f>+IFERROR(VLOOKUP(TEXT(A61,"#"),'EXCEL SMX'!B:I,8,0),0)</f>
        <v>0012</v>
      </c>
      <c r="D61" s="19" t="str">
        <f>IFERROR(VLOOKUP(TEXT(A61,"#"),'EXCEL SMX'!B:S,18,0),0)</f>
        <v>000008</v>
      </c>
      <c r="E61" s="10">
        <f t="shared" si="0"/>
        <v>96</v>
      </c>
      <c r="F61" s="10">
        <f>IFERROR(_xlfn.NUMBERVALUE(SUBSTITUTE(VLOOKUP(TEXT(A61,"#"),'EXCEL SMX'!B:Q,9,0),",",".")),"0")*E61</f>
        <v>76.800000000000011</v>
      </c>
      <c r="G61" s="10">
        <f>IFERROR(_xlfn.NUMBERVALUE(SUBSTITUTE(VLOOKUP(TEXT(A61,"#"),'EXCEL SMX'!B:Q,16,0),",","."))/100,"0")*F61</f>
        <v>0</v>
      </c>
      <c r="H61" s="10">
        <f t="shared" si="1"/>
        <v>76.800000000000011</v>
      </c>
      <c r="K61" s="5"/>
    </row>
    <row r="62" spans="1:11">
      <c r="A62" s="50">
        <v>7861033003085</v>
      </c>
      <c r="B62" s="10" t="s">
        <v>398</v>
      </c>
      <c r="C62" s="19" t="str">
        <f>+IFERROR(VLOOKUP(TEXT(A62,"#"),'EXCEL SMX'!B:I,8,0),0)</f>
        <v>0012</v>
      </c>
      <c r="D62" s="19" t="str">
        <f>IFERROR(VLOOKUP(TEXT(A62,"#"),'EXCEL SMX'!B:S,18,0),0)</f>
        <v>000004</v>
      </c>
      <c r="E62" s="10">
        <f t="shared" si="0"/>
        <v>48</v>
      </c>
      <c r="F62" s="10">
        <f>IFERROR(_xlfn.NUMBERVALUE(SUBSTITUTE(VLOOKUP(TEXT(A62,"#"),'EXCEL SMX'!B:Q,9,0),",",".")),"0")*E62</f>
        <v>69.599999999999994</v>
      </c>
      <c r="G62" s="10">
        <f>IFERROR(_xlfn.NUMBERVALUE(SUBSTITUTE(VLOOKUP(TEXT(A62,"#"),'EXCEL SMX'!B:Q,16,0),",","."))/100,"0")*F62</f>
        <v>13.92</v>
      </c>
      <c r="H62" s="10">
        <f t="shared" si="1"/>
        <v>55.679999999999993</v>
      </c>
      <c r="K62" s="5"/>
    </row>
    <row r="63" spans="1:11">
      <c r="A63" s="50">
        <v>7861033003092</v>
      </c>
      <c r="B63" s="10" t="s">
        <v>399</v>
      </c>
      <c r="C63" s="19" t="str">
        <f>+IFERROR(VLOOKUP(TEXT(A63,"#"),'EXCEL SMX'!B:I,8,0),0)</f>
        <v>0012</v>
      </c>
      <c r="D63" s="19" t="str">
        <f>IFERROR(VLOOKUP(TEXT(A63,"#"),'EXCEL SMX'!B:S,18,0),0)</f>
        <v>000006</v>
      </c>
      <c r="E63" s="10">
        <f t="shared" si="0"/>
        <v>72</v>
      </c>
      <c r="F63" s="10">
        <f>IFERROR(_xlfn.NUMBERVALUE(SUBSTITUTE(VLOOKUP(TEXT(A63,"#"),'EXCEL SMX'!B:Q,9,0),",",".")),"0")*E63</f>
        <v>172.79999999999998</v>
      </c>
      <c r="G63" s="10">
        <f>IFERROR(_xlfn.NUMBERVALUE(SUBSTITUTE(VLOOKUP(TEXT(A63,"#"),'EXCEL SMX'!B:Q,16,0),",","."))/100,"0")*F63</f>
        <v>34.559999999999995</v>
      </c>
      <c r="H63" s="10">
        <f t="shared" si="1"/>
        <v>138.23999999999998</v>
      </c>
      <c r="K63" s="5"/>
    </row>
    <row r="64" spans="1:11">
      <c r="A64" s="50" t="s">
        <v>259</v>
      </c>
      <c r="B64" s="10" t="s">
        <v>85</v>
      </c>
      <c r="C64" s="19">
        <f>+IFERROR(VLOOKUP(TEXT(A64,"#"),'EXCEL SMX'!B:I,8,0),0)</f>
        <v>0</v>
      </c>
      <c r="D64" s="19">
        <f>IFERROR(VLOOKUP(TEXT(A64,"#"),'EXCEL SMX'!B:S,18,0),0)</f>
        <v>0</v>
      </c>
      <c r="E64" s="10">
        <f t="shared" si="0"/>
        <v>0</v>
      </c>
      <c r="F64" s="10">
        <f>IFERROR(_xlfn.NUMBERVALUE(SUBSTITUTE(VLOOKUP(TEXT(A64,"#"),'EXCEL SMX'!B:Q,9,0),",",".")),"0")*E64</f>
        <v>0</v>
      </c>
      <c r="G64" s="10">
        <f>IFERROR(_xlfn.NUMBERVALUE(SUBSTITUTE(VLOOKUP(TEXT(A64,"#"),'EXCEL SMX'!B:Q,16,0),",","."))/100,"0")*F64</f>
        <v>0</v>
      </c>
      <c r="H64" s="10">
        <f t="shared" si="1"/>
        <v>0</v>
      </c>
      <c r="K64" s="5"/>
    </row>
    <row r="65" spans="1:11">
      <c r="A65" s="50" t="s">
        <v>273</v>
      </c>
      <c r="B65" s="10" t="s">
        <v>86</v>
      </c>
      <c r="C65" s="19">
        <f>+IFERROR(VLOOKUP(TEXT(A65,"#"),'EXCEL SMX'!B:I,8,0),0)</f>
        <v>0</v>
      </c>
      <c r="D65" s="19">
        <f>IFERROR(VLOOKUP(TEXT(A65,"#"),'EXCEL SMX'!B:S,18,0),0)</f>
        <v>0</v>
      </c>
      <c r="E65" s="10">
        <f t="shared" si="0"/>
        <v>0</v>
      </c>
      <c r="F65" s="10">
        <f>IFERROR(_xlfn.NUMBERVALUE(SUBSTITUTE(VLOOKUP(TEXT(A65,"#"),'EXCEL SMX'!B:Q,9,0),",",".")),"0")*E65</f>
        <v>0</v>
      </c>
      <c r="G65" s="10">
        <f>IFERROR(_xlfn.NUMBERVALUE(SUBSTITUTE(VLOOKUP(TEXT(A65,"#"),'EXCEL SMX'!B:Q,16,0),",","."))/100,"0")*F65</f>
        <v>0</v>
      </c>
      <c r="H65" s="10">
        <f t="shared" si="1"/>
        <v>0</v>
      </c>
      <c r="K65" s="5"/>
    </row>
    <row r="66" spans="1:11">
      <c r="A66" s="50" t="s">
        <v>274</v>
      </c>
      <c r="B66" s="10" t="s">
        <v>87</v>
      </c>
      <c r="C66" s="19">
        <f>+IFERROR(VLOOKUP(TEXT(A66,"#"),'EXCEL SMX'!B:I,8,0),0)</f>
        <v>0</v>
      </c>
      <c r="D66" s="19">
        <f>IFERROR(VLOOKUP(TEXT(A66,"#"),'EXCEL SMX'!B:S,18,0),0)</f>
        <v>0</v>
      </c>
      <c r="E66" s="10">
        <f t="shared" si="0"/>
        <v>0</v>
      </c>
      <c r="F66" s="10">
        <f>IFERROR(_xlfn.NUMBERVALUE(SUBSTITUTE(VLOOKUP(TEXT(A66,"#"),'EXCEL SMX'!B:Q,9,0),",",".")),"0")*E66</f>
        <v>0</v>
      </c>
      <c r="G66" s="10">
        <f>IFERROR(_xlfn.NUMBERVALUE(SUBSTITUTE(VLOOKUP(TEXT(A66,"#"),'EXCEL SMX'!B:Q,16,0),",","."))/100,"0")*F66</f>
        <v>0</v>
      </c>
      <c r="H66" s="10">
        <f t="shared" si="1"/>
        <v>0</v>
      </c>
      <c r="K66" s="5"/>
    </row>
    <row r="67" spans="1:11">
      <c r="A67" s="50" t="s">
        <v>247</v>
      </c>
      <c r="B67" s="10" t="s">
        <v>88</v>
      </c>
      <c r="C67" s="19">
        <f>+IFERROR(VLOOKUP(TEXT(A67,"#"),'EXCEL SMX'!B:I,8,0),0)</f>
        <v>0</v>
      </c>
      <c r="D67" s="19">
        <f>IFERROR(VLOOKUP(TEXT(A67,"#"),'EXCEL SMX'!B:S,18,0),0)</f>
        <v>0</v>
      </c>
      <c r="E67" s="10">
        <f t="shared" ref="E67:E113" si="2">C67*D67</f>
        <v>0</v>
      </c>
      <c r="F67" s="10">
        <f>IFERROR(_xlfn.NUMBERVALUE(SUBSTITUTE(VLOOKUP(TEXT(A67,"#"),'EXCEL SMX'!B:Q,9,0),",",".")),"0")*E67</f>
        <v>0</v>
      </c>
      <c r="G67" s="10">
        <f>IFERROR(_xlfn.NUMBERVALUE(SUBSTITUTE(VLOOKUP(TEXT(A67,"#"),'EXCEL SMX'!B:Q,16,0),",","."))/100,"0")*F67</f>
        <v>0</v>
      </c>
      <c r="H67" s="10">
        <f t="shared" ref="H67:H113" si="3">F67-G67</f>
        <v>0</v>
      </c>
      <c r="K67" s="5"/>
    </row>
    <row r="68" spans="1:11">
      <c r="A68" s="50" t="s">
        <v>285</v>
      </c>
      <c r="B68" s="10" t="s">
        <v>89</v>
      </c>
      <c r="C68" s="19">
        <f>+IFERROR(VLOOKUP(TEXT(A68,"#"),'EXCEL SMX'!B:I,8,0),0)</f>
        <v>0</v>
      </c>
      <c r="D68" s="19">
        <f>IFERROR(VLOOKUP(TEXT(A68,"#"),'EXCEL SMX'!B:S,18,0),0)</f>
        <v>0</v>
      </c>
      <c r="E68" s="10">
        <f t="shared" si="2"/>
        <v>0</v>
      </c>
      <c r="F68" s="10">
        <f>IFERROR(_xlfn.NUMBERVALUE(SUBSTITUTE(VLOOKUP(TEXT(A68,"#"),'EXCEL SMX'!B:Q,9,0),",",".")),"0")*E68</f>
        <v>0</v>
      </c>
      <c r="G68" s="10">
        <f>IFERROR(_xlfn.NUMBERVALUE(SUBSTITUTE(VLOOKUP(TEXT(A68,"#"),'EXCEL SMX'!B:Q,16,0),",","."))/100,"0")*F68</f>
        <v>0</v>
      </c>
      <c r="H68" s="10">
        <f t="shared" si="3"/>
        <v>0</v>
      </c>
    </row>
    <row r="69" spans="1:11">
      <c r="A69" s="50" t="s">
        <v>258</v>
      </c>
      <c r="B69" s="10" t="s">
        <v>155</v>
      </c>
      <c r="C69" s="19" t="str">
        <f>+IFERROR(VLOOKUP(TEXT(A69,"#"),'EXCEL SMX'!B:I,8,0),0)</f>
        <v>0018</v>
      </c>
      <c r="D69" s="19" t="str">
        <f>IFERROR(VLOOKUP(TEXT(A69,"#"),'EXCEL SMX'!B:S,18,0),0)</f>
        <v>000003</v>
      </c>
      <c r="E69" s="10">
        <f t="shared" si="2"/>
        <v>54</v>
      </c>
      <c r="F69" s="10">
        <f>IFERROR(_xlfn.NUMBERVALUE(SUBSTITUTE(VLOOKUP(TEXT(A69,"#"),'EXCEL SMX'!B:Q,9,0),",",".")),"0")*E69</f>
        <v>292.14</v>
      </c>
      <c r="G69" s="10">
        <f>IFERROR(_xlfn.NUMBERVALUE(SUBSTITUTE(VLOOKUP(TEXT(A69,"#"),'EXCEL SMX'!B:Q,16,0),",","."))/100,"0")*F69</f>
        <v>0</v>
      </c>
      <c r="H69" s="10">
        <f t="shared" si="3"/>
        <v>292.14</v>
      </c>
    </row>
    <row r="70" spans="1:11" ht="12.75" customHeight="1">
      <c r="A70" s="50" t="s">
        <v>154</v>
      </c>
      <c r="B70" s="10" t="s">
        <v>156</v>
      </c>
      <c r="C70" s="19">
        <f>+IFERROR(VLOOKUP(TEXT(A70,"#"),'EXCEL SMX'!B:I,8,0),0)</f>
        <v>0</v>
      </c>
      <c r="D70" s="19">
        <f>IFERROR(VLOOKUP(TEXT(A70,"#"),'EXCEL SMX'!B:S,18,0),0)</f>
        <v>0</v>
      </c>
      <c r="E70" s="10">
        <f t="shared" si="2"/>
        <v>0</v>
      </c>
      <c r="F70" s="10">
        <f>IFERROR(_xlfn.NUMBERVALUE(SUBSTITUTE(VLOOKUP(TEXT(A70,"#"),'EXCEL SMX'!B:Q,9,0),",",".")),"0")*E70</f>
        <v>0</v>
      </c>
      <c r="G70" s="10">
        <f>IFERROR(_xlfn.NUMBERVALUE(SUBSTITUTE(VLOOKUP(TEXT(A70,"#"),'EXCEL SMX'!B:Q,16,0),",","."))/100,"0")*F70</f>
        <v>0</v>
      </c>
      <c r="H70" s="10">
        <f t="shared" si="3"/>
        <v>0</v>
      </c>
    </row>
    <row r="71" spans="1:11">
      <c r="A71" s="50" t="s">
        <v>153</v>
      </c>
      <c r="B71" s="10" t="s">
        <v>157</v>
      </c>
      <c r="C71" s="19">
        <f>+IFERROR(VLOOKUP(TEXT(A71,"#"),'EXCEL SMX'!B:I,8,0),0)</f>
        <v>0</v>
      </c>
      <c r="D71" s="19">
        <f>IFERROR(VLOOKUP(TEXT(A71,"#"),'EXCEL SMX'!B:S,18,0),0)</f>
        <v>0</v>
      </c>
      <c r="E71" s="10">
        <f t="shared" si="2"/>
        <v>0</v>
      </c>
      <c r="F71" s="10">
        <f>IFERROR(_xlfn.NUMBERVALUE(SUBSTITUTE(VLOOKUP(TEXT(A71,"#"),'EXCEL SMX'!B:Q,9,0),",",".")),"0")*E71</f>
        <v>0</v>
      </c>
      <c r="G71" s="10">
        <f>IFERROR(_xlfn.NUMBERVALUE(SUBSTITUTE(VLOOKUP(TEXT(A71,"#"),'EXCEL SMX'!B:Q,16,0),",","."))/100,"0")*F71</f>
        <v>0</v>
      </c>
      <c r="H71" s="10">
        <f t="shared" si="3"/>
        <v>0</v>
      </c>
    </row>
    <row r="72" spans="1:11">
      <c r="A72" s="50" t="s">
        <v>223</v>
      </c>
      <c r="B72" s="26" t="s">
        <v>227</v>
      </c>
      <c r="C72" s="19" t="str">
        <f>+IFERROR(VLOOKUP(TEXT(A72,"#"),'EXCEL SMX'!B:I,8,0),0)</f>
        <v>0012</v>
      </c>
      <c r="D72" s="19" t="str">
        <f>IFERROR(VLOOKUP(TEXT(A72,"#"),'EXCEL SMX'!B:S,18,0),0)</f>
        <v>000045</v>
      </c>
      <c r="E72" s="10">
        <f t="shared" si="2"/>
        <v>540</v>
      </c>
      <c r="F72" s="10">
        <f>IFERROR(_xlfn.NUMBERVALUE(SUBSTITUTE(VLOOKUP(TEXT(A72,"#"),'EXCEL SMX'!B:Q,9,0),",",".")),"0")*E72</f>
        <v>891</v>
      </c>
      <c r="G72" s="10">
        <f>IFERROR(_xlfn.NUMBERVALUE(SUBSTITUTE(VLOOKUP(TEXT(A72,"#"),'EXCEL SMX'!B:Q,16,0),",","."))/100,"0")*F72</f>
        <v>178.20000000000002</v>
      </c>
      <c r="H72" s="10">
        <f t="shared" si="3"/>
        <v>712.8</v>
      </c>
    </row>
    <row r="73" spans="1:11" ht="16">
      <c r="A73" s="50" t="s">
        <v>226</v>
      </c>
      <c r="B73" s="63" t="s">
        <v>228</v>
      </c>
      <c r="C73" s="19" t="str">
        <f>+IFERROR(VLOOKUP(TEXT(A73,"#"),'EXCEL SMX'!B:I,8,0),0)</f>
        <v>0012</v>
      </c>
      <c r="D73" s="19" t="str">
        <f>IFERROR(VLOOKUP(TEXT(A73,"#"),'EXCEL SMX'!B:S,18,0),0)</f>
        <v>000004</v>
      </c>
      <c r="E73" s="10">
        <f t="shared" si="2"/>
        <v>48</v>
      </c>
      <c r="F73" s="10">
        <f>IFERROR(_xlfn.NUMBERVALUE(SUBSTITUTE(VLOOKUP(TEXT(A73,"#"),'EXCEL SMX'!B:Q,9,0),",",".")),"0")*E73</f>
        <v>146.39999999999998</v>
      </c>
      <c r="G73" s="10">
        <f>IFERROR(_xlfn.NUMBERVALUE(SUBSTITUTE(VLOOKUP(TEXT(A73,"#"),'EXCEL SMX'!B:Q,16,0),",","."))/100,"0")*F73</f>
        <v>0</v>
      </c>
      <c r="H73" s="10">
        <f t="shared" si="3"/>
        <v>146.39999999999998</v>
      </c>
    </row>
    <row r="74" spans="1:11">
      <c r="A74" s="50" t="s">
        <v>224</v>
      </c>
      <c r="B74" s="26" t="s">
        <v>229</v>
      </c>
      <c r="C74" s="19" t="str">
        <f>+IFERROR(VLOOKUP(TEXT(A74,"#"),'EXCEL SMX'!B:I,8,0),0)</f>
        <v>0012</v>
      </c>
      <c r="D74" s="19" t="str">
        <f>IFERROR(VLOOKUP(TEXT(A74,"#"),'EXCEL SMX'!B:S,18,0),0)</f>
        <v>000011</v>
      </c>
      <c r="E74" s="10">
        <f t="shared" si="2"/>
        <v>132</v>
      </c>
      <c r="F74" s="10">
        <f>IFERROR(_xlfn.NUMBERVALUE(SUBSTITUTE(VLOOKUP(TEXT(A74,"#"),'EXCEL SMX'!B:Q,9,0),",",".")),"0")*E74</f>
        <v>231</v>
      </c>
      <c r="G74" s="10">
        <f>IFERROR(_xlfn.NUMBERVALUE(SUBSTITUTE(VLOOKUP(TEXT(A74,"#"),'EXCEL SMX'!B:Q,16,0),",","."))/100,"0")*F74</f>
        <v>0</v>
      </c>
      <c r="H74" s="10">
        <f t="shared" si="3"/>
        <v>231</v>
      </c>
    </row>
    <row r="75" spans="1:11">
      <c r="A75" s="50" t="s">
        <v>225</v>
      </c>
      <c r="B75" s="26" t="s">
        <v>230</v>
      </c>
      <c r="C75" s="19" t="str">
        <f>+IFERROR(VLOOKUP(TEXT(A75,"#"),'EXCEL SMX'!B:I,8,0),0)</f>
        <v>0012</v>
      </c>
      <c r="D75" s="19" t="str">
        <f>IFERROR(VLOOKUP(TEXT(A75,"#"),'EXCEL SMX'!B:S,18,0),0)</f>
        <v>000008</v>
      </c>
      <c r="E75" s="10">
        <f t="shared" si="2"/>
        <v>96</v>
      </c>
      <c r="F75" s="10">
        <f>IFERROR(_xlfn.NUMBERVALUE(SUBSTITUTE(VLOOKUP(TEXT(A75,"#"),'EXCEL SMX'!B:Q,9,0),",",".")),"0")*E75</f>
        <v>182.39999999999998</v>
      </c>
      <c r="G75" s="10">
        <f>IFERROR(_xlfn.NUMBERVALUE(SUBSTITUTE(VLOOKUP(TEXT(A75,"#"),'EXCEL SMX'!B:Q,16,0),",","."))/100,"0")*F75</f>
        <v>0</v>
      </c>
      <c r="H75" s="10">
        <f t="shared" si="3"/>
        <v>182.39999999999998</v>
      </c>
    </row>
    <row r="76" spans="1:11">
      <c r="A76" s="50" t="s">
        <v>221</v>
      </c>
      <c r="B76" s="26" t="s">
        <v>231</v>
      </c>
      <c r="C76" s="19">
        <f>+IFERROR(VLOOKUP(TEXT(A76,"#"),'EXCEL SMX'!B:I,8,0),0)</f>
        <v>0</v>
      </c>
      <c r="D76" s="19">
        <f>IFERROR(VLOOKUP(TEXT(A76,"#"),'EXCEL SMX'!B:S,18,0),0)</f>
        <v>0</v>
      </c>
      <c r="E76" s="10">
        <f t="shared" si="2"/>
        <v>0</v>
      </c>
      <c r="F76" s="10">
        <f>IFERROR(_xlfn.NUMBERVALUE(SUBSTITUTE(VLOOKUP(TEXT(A76,"#"),'EXCEL SMX'!B:Q,9,0),",",".")),"0")*E76</f>
        <v>0</v>
      </c>
      <c r="G76" s="10">
        <f>IFERROR(_xlfn.NUMBERVALUE(SUBSTITUTE(VLOOKUP(TEXT(A76,"#"),'EXCEL SMX'!B:Q,16,0),",","."))/100,"0")*F76</f>
        <v>0</v>
      </c>
      <c r="H76" s="10">
        <f t="shared" si="3"/>
        <v>0</v>
      </c>
    </row>
    <row r="77" spans="1:11" ht="16" thickBot="1">
      <c r="A77" s="50" t="s">
        <v>222</v>
      </c>
      <c r="B77" s="26" t="s">
        <v>232</v>
      </c>
      <c r="C77" s="19">
        <f>+IFERROR(VLOOKUP(TEXT(A77,"#"),'EXCEL SMX'!B:I,8,0),0)</f>
        <v>0</v>
      </c>
      <c r="D77" s="19">
        <f>IFERROR(VLOOKUP(TEXT(A77,"#"),'EXCEL SMX'!B:S,18,0),0)</f>
        <v>0</v>
      </c>
      <c r="E77" s="10">
        <f t="shared" si="2"/>
        <v>0</v>
      </c>
      <c r="F77" s="10">
        <f>IFERROR(_xlfn.NUMBERVALUE(SUBSTITUTE(VLOOKUP(TEXT(A77,"#"),'EXCEL SMX'!B:Q,9,0),",",".")),"0")*E77</f>
        <v>0</v>
      </c>
      <c r="G77" s="10">
        <f>IFERROR(_xlfn.NUMBERVALUE(SUBSTITUTE(VLOOKUP(TEXT(A77,"#"),'EXCEL SMX'!B:Q,16,0),",","."))/100,"0")*F77</f>
        <v>0</v>
      </c>
      <c r="H77" s="10">
        <f t="shared" si="3"/>
        <v>0</v>
      </c>
    </row>
    <row r="78" spans="1:11" ht="16" thickBot="1">
      <c r="A78" s="84" t="s">
        <v>361</v>
      </c>
      <c r="B78" s="89" t="s">
        <v>354</v>
      </c>
      <c r="C78" s="19" t="str">
        <f>+IFERROR(VLOOKUP(TEXT(A78,"#"),'EXCEL SMX'!B:I,8,0),0)</f>
        <v>0013</v>
      </c>
      <c r="D78" s="19" t="str">
        <f>IFERROR(VLOOKUP(TEXT(A78,"#"),'EXCEL SMX'!B:S,18,0),0)</f>
        <v>000009</v>
      </c>
      <c r="E78" s="10">
        <f t="shared" si="2"/>
        <v>117</v>
      </c>
      <c r="F78" s="10">
        <f>IFERROR(_xlfn.NUMBERVALUE(SUBSTITUTE(VLOOKUP(TEXT(A78,"#"),'EXCEL SMX'!B:Q,9,0),",",".")),"0")*E78</f>
        <v>210.6</v>
      </c>
      <c r="G78" s="10">
        <f>IFERROR(_xlfn.NUMBERVALUE(SUBSTITUTE(VLOOKUP(TEXT(A78,"#"),'EXCEL SMX'!B:Q,16,0),",","."))/100,"0")*F78</f>
        <v>0</v>
      </c>
      <c r="H78" s="10">
        <f t="shared" si="3"/>
        <v>210.6</v>
      </c>
    </row>
    <row r="79" spans="1:11">
      <c r="A79" s="50" t="s">
        <v>362</v>
      </c>
      <c r="B79" s="89" t="s">
        <v>355</v>
      </c>
      <c r="C79" s="19" t="str">
        <f>+IFERROR(VLOOKUP(TEXT(A79,"#"),'EXCEL SMX'!B:I,8,0),0)</f>
        <v>0008</v>
      </c>
      <c r="D79" s="19" t="str">
        <f>IFERROR(VLOOKUP(TEXT(A79,"#"),'EXCEL SMX'!B:S,18,0),0)</f>
        <v>000004</v>
      </c>
      <c r="E79" s="10">
        <f t="shared" si="2"/>
        <v>32</v>
      </c>
      <c r="F79" s="10">
        <f>IFERROR(_xlfn.NUMBERVALUE(SUBSTITUTE(VLOOKUP(TEXT(A79,"#"),'EXCEL SMX'!B:Q,9,0),",",".")),"0")*E79</f>
        <v>131.19999999999999</v>
      </c>
      <c r="G79" s="10">
        <f>IFERROR(_xlfn.NUMBERVALUE(SUBSTITUTE(VLOOKUP(TEXT(A79,"#"),'EXCEL SMX'!B:Q,16,0),",","."))/100,"0")*F79</f>
        <v>26.24</v>
      </c>
      <c r="H79" s="10">
        <f t="shared" si="3"/>
        <v>104.96</v>
      </c>
    </row>
    <row r="80" spans="1:11">
      <c r="A80" s="50" t="s">
        <v>360</v>
      </c>
      <c r="B80" s="89" t="s">
        <v>356</v>
      </c>
      <c r="C80" s="19" t="str">
        <f>+IFERROR(VLOOKUP(TEXT(A80,"#"),'EXCEL SMX'!B:I,8,0),0)</f>
        <v>0008</v>
      </c>
      <c r="D80" s="19" t="str">
        <f>IFERROR(VLOOKUP(TEXT(A80,"#"),'EXCEL SMX'!B:S,18,0),0)</f>
        <v>000003</v>
      </c>
      <c r="E80" s="10">
        <f t="shared" si="2"/>
        <v>24</v>
      </c>
      <c r="F80" s="10">
        <f>IFERROR(_xlfn.NUMBERVALUE(SUBSTITUTE(VLOOKUP(TEXT(A80,"#"),'EXCEL SMX'!B:Q,9,0),",",".")),"0")*E80</f>
        <v>85.199999999999989</v>
      </c>
      <c r="G80" s="10">
        <f>IFERROR(_xlfn.NUMBERVALUE(SUBSTITUTE(VLOOKUP(TEXT(A80,"#"),'EXCEL SMX'!B:Q,16,0),",","."))/100,"0")*F80</f>
        <v>0</v>
      </c>
      <c r="H80" s="10">
        <f t="shared" si="3"/>
        <v>85.199999999999989</v>
      </c>
    </row>
    <row r="81" spans="1:8">
      <c r="A81" s="50" t="s">
        <v>359</v>
      </c>
      <c r="B81" s="89" t="s">
        <v>357</v>
      </c>
      <c r="C81" s="19" t="str">
        <f>+IFERROR(VLOOKUP(TEXT(A81,"#"),'EXCEL SMX'!B:I,8,0),0)</f>
        <v>0008</v>
      </c>
      <c r="D81" s="19" t="str">
        <f>IFERROR(VLOOKUP(TEXT(A81,"#"),'EXCEL SMX'!B:S,18,0),0)</f>
        <v>000023</v>
      </c>
      <c r="E81" s="10">
        <f t="shared" si="2"/>
        <v>184</v>
      </c>
      <c r="F81" s="10">
        <f>IFERROR(_xlfn.NUMBERVALUE(SUBSTITUTE(VLOOKUP(TEXT(A81,"#"),'EXCEL SMX'!B:Q,9,0),",",".")),"0")*E81</f>
        <v>699.19999999999993</v>
      </c>
      <c r="G81" s="10">
        <f>IFERROR(_xlfn.NUMBERVALUE(SUBSTITUTE(VLOOKUP(TEXT(A81,"#"),'EXCEL SMX'!B:Q,16,0),",","."))/100,"0")*F81</f>
        <v>139.84</v>
      </c>
      <c r="H81" s="10">
        <f t="shared" si="3"/>
        <v>559.3599999999999</v>
      </c>
    </row>
    <row r="82" spans="1:8" ht="16" thickBot="1">
      <c r="A82" s="85" t="s">
        <v>363</v>
      </c>
      <c r="B82" s="89" t="s">
        <v>358</v>
      </c>
      <c r="C82" s="19" t="str">
        <f>+IFERROR(VLOOKUP(TEXT(A82,"#"),'EXCEL SMX'!B:I,8,0),0)</f>
        <v>0008</v>
      </c>
      <c r="D82" s="19" t="str">
        <f>IFERROR(VLOOKUP(TEXT(A82,"#"),'EXCEL SMX'!B:S,18,0),0)</f>
        <v>000018</v>
      </c>
      <c r="E82" s="10">
        <f t="shared" si="2"/>
        <v>144</v>
      </c>
      <c r="F82" s="10">
        <f>IFERROR(_xlfn.NUMBERVALUE(SUBSTITUTE(VLOOKUP(TEXT(A82,"#"),'EXCEL SMX'!B:Q,9,0),",",".")),"0")*E82</f>
        <v>511.2</v>
      </c>
      <c r="G82" s="10">
        <f>IFERROR(_xlfn.NUMBERVALUE(SUBSTITUTE(VLOOKUP(TEXT(A82,"#"),'EXCEL SMX'!B:Q,16,0),",","."))/100,"0")*F82</f>
        <v>102.24000000000001</v>
      </c>
      <c r="H82" s="10">
        <f t="shared" si="3"/>
        <v>408.96</v>
      </c>
    </row>
    <row r="83" spans="1:8" ht="17" thickBot="1">
      <c r="A83" s="86">
        <v>7861042572237</v>
      </c>
      <c r="B83" s="90" t="s">
        <v>387</v>
      </c>
      <c r="C83" s="19" t="str">
        <f>+IFERROR(VLOOKUP(TEXT(A83,"#"),'EXCEL SMX'!B:I,8,0),0)</f>
        <v>0012</v>
      </c>
      <c r="D83" s="19" t="str">
        <f>IFERROR(VLOOKUP(TEXT(A83,"#"),'EXCEL SMX'!B:S,18,0),0)</f>
        <v>000021</v>
      </c>
      <c r="E83" s="10">
        <f t="shared" si="2"/>
        <v>252</v>
      </c>
      <c r="F83" s="10">
        <f>IFERROR(_xlfn.NUMBERVALUE(SUBSTITUTE(VLOOKUP(TEXT(A83,"#"),'EXCEL SMX'!B:Q,9,0),",",".")),"0")*E83</f>
        <v>655.20000000000005</v>
      </c>
      <c r="G83" s="10">
        <f>IFERROR(_xlfn.NUMBERVALUE(SUBSTITUTE(VLOOKUP(TEXT(A83,"#"),'EXCEL SMX'!B:Q,16,0),",","."))/100,"0")*F83</f>
        <v>0</v>
      </c>
      <c r="H83" s="10">
        <f t="shared" si="3"/>
        <v>655.20000000000005</v>
      </c>
    </row>
    <row r="84" spans="1:8" ht="17" thickBot="1">
      <c r="A84" s="86">
        <v>7861042572220</v>
      </c>
      <c r="B84" s="90" t="s">
        <v>388</v>
      </c>
      <c r="C84" s="19" t="str">
        <f>+IFERROR(VLOOKUP(TEXT(A84,"#"),'EXCEL SMX'!B:I,8,0),0)</f>
        <v>0012</v>
      </c>
      <c r="D84" s="19" t="str">
        <f>IFERROR(VLOOKUP(TEXT(A84,"#"),'EXCEL SMX'!B:S,18,0),0)</f>
        <v>000028</v>
      </c>
      <c r="E84" s="10">
        <f t="shared" si="2"/>
        <v>336</v>
      </c>
      <c r="F84" s="10">
        <f>IFERROR(_xlfn.NUMBERVALUE(SUBSTITUTE(VLOOKUP(TEXT(A84,"#"),'EXCEL SMX'!B:Q,9,0),",",".")),"0")*E84</f>
        <v>470.4</v>
      </c>
      <c r="G84" s="10">
        <f>IFERROR(_xlfn.NUMBERVALUE(SUBSTITUTE(VLOOKUP(TEXT(A84,"#"),'EXCEL SMX'!B:Q,16,0),",","."))/100,"0")*F84</f>
        <v>0</v>
      </c>
      <c r="H84" s="10">
        <f t="shared" si="3"/>
        <v>470.4</v>
      </c>
    </row>
    <row r="85" spans="1:8" ht="17" thickBot="1">
      <c r="A85" s="86">
        <v>7861042572688</v>
      </c>
      <c r="B85" s="90" t="s">
        <v>389</v>
      </c>
      <c r="C85" s="19" t="str">
        <f>+IFERROR(VLOOKUP(TEXT(A85,"#"),'EXCEL SMX'!B:I,8,0),0)</f>
        <v>0012</v>
      </c>
      <c r="D85" s="19" t="str">
        <f>IFERROR(VLOOKUP(TEXT(A85,"#"),'EXCEL SMX'!B:S,18,0),0)</f>
        <v>000045</v>
      </c>
      <c r="E85" s="10">
        <f t="shared" si="2"/>
        <v>540</v>
      </c>
      <c r="F85" s="10">
        <f>IFERROR(_xlfn.NUMBERVALUE(SUBSTITUTE(VLOOKUP(TEXT(A85,"#"),'EXCEL SMX'!B:Q,9,0),",",".")),"0")*E85</f>
        <v>891</v>
      </c>
      <c r="G85" s="10">
        <f>IFERROR(_xlfn.NUMBERVALUE(SUBSTITUTE(VLOOKUP(TEXT(A85,"#"),'EXCEL SMX'!B:Q,16,0),",","."))/100,"0")*F85</f>
        <v>0</v>
      </c>
      <c r="H85" s="10">
        <f t="shared" si="3"/>
        <v>891</v>
      </c>
    </row>
    <row r="86" spans="1:8" ht="17" thickBot="1">
      <c r="A86" s="86">
        <v>7861042570141</v>
      </c>
      <c r="B86" s="90" t="s">
        <v>390</v>
      </c>
      <c r="C86" s="19" t="str">
        <f>+IFERROR(VLOOKUP(TEXT(A86,"#"),'EXCEL SMX'!B:I,8,0),0)</f>
        <v>0012</v>
      </c>
      <c r="D86" s="19" t="str">
        <f>IFERROR(VLOOKUP(TEXT(A86,"#"),'EXCEL SMX'!B:S,18,0),0)</f>
        <v>000037</v>
      </c>
      <c r="E86" s="10">
        <f t="shared" si="2"/>
        <v>444</v>
      </c>
      <c r="F86" s="10">
        <f>IFERROR(_xlfn.NUMBERVALUE(SUBSTITUTE(VLOOKUP(TEXT(A86,"#"),'EXCEL SMX'!B:Q,9,0),",",".")),"0")*E86</f>
        <v>732.59999999999991</v>
      </c>
      <c r="G86" s="10">
        <f>IFERROR(_xlfn.NUMBERVALUE(SUBSTITUTE(VLOOKUP(TEXT(A86,"#"),'EXCEL SMX'!B:Q,16,0),",","."))/100,"0")*F86</f>
        <v>0</v>
      </c>
      <c r="H86" s="10">
        <f t="shared" si="3"/>
        <v>732.59999999999991</v>
      </c>
    </row>
    <row r="87" spans="1:8" ht="17" thickBot="1">
      <c r="A87" s="86">
        <v>7861042572244</v>
      </c>
      <c r="B87" s="90" t="s">
        <v>391</v>
      </c>
      <c r="C87" s="19" t="str">
        <f>+IFERROR(VLOOKUP(TEXT(A87,"#"),'EXCEL SMX'!B:I,8,0),0)</f>
        <v>0004</v>
      </c>
      <c r="D87" s="19" t="str">
        <f>IFERROR(VLOOKUP(TEXT(A87,"#"),'EXCEL SMX'!B:S,18,0),0)</f>
        <v>000001</v>
      </c>
      <c r="E87" s="10">
        <f t="shared" si="2"/>
        <v>4</v>
      </c>
      <c r="F87" s="10">
        <f>IFERROR(_xlfn.NUMBERVALUE(SUBSTITUTE(VLOOKUP(TEXT(A87,"#"),'EXCEL SMX'!B:Q,9,0),",",".")),"0")*E87</f>
        <v>35.799999999999997</v>
      </c>
      <c r="G87" s="10">
        <f>IFERROR(_xlfn.NUMBERVALUE(SUBSTITUTE(VLOOKUP(TEXT(A87,"#"),'EXCEL SMX'!B:Q,16,0),",","."))/100,"0")*F87</f>
        <v>0</v>
      </c>
      <c r="H87" s="10">
        <f t="shared" si="3"/>
        <v>35.799999999999997</v>
      </c>
    </row>
    <row r="88" spans="1:8" ht="17" thickBot="1">
      <c r="A88" s="86">
        <v>7861042571780</v>
      </c>
      <c r="B88" s="90" t="s">
        <v>392</v>
      </c>
      <c r="C88" s="19" t="str">
        <f>+IFERROR(VLOOKUP(TEXT(A88,"#"),'EXCEL SMX'!B:I,8,0),0)</f>
        <v>0012</v>
      </c>
      <c r="D88" s="19" t="str">
        <f>IFERROR(VLOOKUP(TEXT(A88,"#"),'EXCEL SMX'!B:S,18,0),0)</f>
        <v>000013</v>
      </c>
      <c r="E88" s="10">
        <f t="shared" si="2"/>
        <v>156</v>
      </c>
      <c r="F88" s="10">
        <f>IFERROR(_xlfn.NUMBERVALUE(SUBSTITUTE(VLOOKUP(TEXT(A88,"#"),'EXCEL SMX'!B:Q,9,0),",",".")),"0")*E88</f>
        <v>129.47999999999999</v>
      </c>
      <c r="G88" s="10">
        <f>IFERROR(_xlfn.NUMBERVALUE(SUBSTITUTE(VLOOKUP(TEXT(A88,"#"),'EXCEL SMX'!B:Q,16,0),",","."))/100,"0")*F88</f>
        <v>0</v>
      </c>
      <c r="H88" s="10">
        <f t="shared" si="3"/>
        <v>129.47999999999999</v>
      </c>
    </row>
    <row r="89" spans="1:8" ht="17" thickBot="1">
      <c r="A89" s="86">
        <v>7861042574637</v>
      </c>
      <c r="B89" s="94" t="s">
        <v>402</v>
      </c>
      <c r="C89" s="19" t="str">
        <f>+IFERROR(VLOOKUP(TEXT(A89,"#"),'EXCEL SMX'!B:I,8,0),0)</f>
        <v>0012</v>
      </c>
      <c r="D89" s="19" t="str">
        <f>IFERROR(VLOOKUP(TEXT(A89,"#"),'EXCEL SMX'!B:S,18,0),0)</f>
        <v>000108</v>
      </c>
      <c r="E89" s="10">
        <f t="shared" si="2"/>
        <v>1296</v>
      </c>
      <c r="F89" s="10">
        <f>IFERROR(_xlfn.NUMBERVALUE(SUBSTITUTE(VLOOKUP(TEXT(A89,"#"),'EXCEL SMX'!B:Q,9,0),",",".")),"0")*E89</f>
        <v>596.16000000000008</v>
      </c>
      <c r="G89" s="10">
        <f>IFERROR(_xlfn.NUMBERVALUE(SUBSTITUTE(VLOOKUP(TEXT(A89,"#"),'EXCEL SMX'!B:Q,16,0),",","."))/100,"0")*F89</f>
        <v>0</v>
      </c>
      <c r="H89" s="10">
        <f t="shared" si="3"/>
        <v>596.16000000000008</v>
      </c>
    </row>
    <row r="90" spans="1:8" ht="17" thickBot="1">
      <c r="A90" s="86">
        <v>7861042574644</v>
      </c>
      <c r="B90" s="94" t="s">
        <v>403</v>
      </c>
      <c r="C90" s="19" t="str">
        <f>+IFERROR(VLOOKUP(TEXT(A90,"#"),'EXCEL SMX'!B:I,8,0),0)</f>
        <v>0012</v>
      </c>
      <c r="D90" s="19" t="str">
        <f>IFERROR(VLOOKUP(TEXT(A90,"#"),'EXCEL SMX'!B:S,18,0),0)</f>
        <v>000082</v>
      </c>
      <c r="E90" s="10">
        <f t="shared" si="2"/>
        <v>984</v>
      </c>
      <c r="F90" s="10">
        <f>IFERROR(_xlfn.NUMBERVALUE(SUBSTITUTE(VLOOKUP(TEXT(A90,"#"),'EXCEL SMX'!B:Q,9,0),",",".")),"0")*E90</f>
        <v>1013.52</v>
      </c>
      <c r="G90" s="10">
        <f>IFERROR(_xlfn.NUMBERVALUE(SUBSTITUTE(VLOOKUP(TEXT(A90,"#"),'EXCEL SMX'!B:Q,16,0),",","."))/100,"0")*F90</f>
        <v>0</v>
      </c>
      <c r="H90" s="10">
        <f t="shared" si="3"/>
        <v>1013.52</v>
      </c>
    </row>
    <row r="91" spans="1:8" ht="17" thickBot="1">
      <c r="A91" s="86">
        <v>7861042574651</v>
      </c>
      <c r="B91" s="94" t="s">
        <v>404</v>
      </c>
      <c r="C91" s="19" t="str">
        <f>+IFERROR(VLOOKUP(TEXT(A91,"#"),'EXCEL SMX'!B:I,8,0),0)</f>
        <v>0012</v>
      </c>
      <c r="D91" s="19" t="str">
        <f>IFERROR(VLOOKUP(TEXT(A91,"#"),'EXCEL SMX'!B:S,18,0),0)</f>
        <v>000061</v>
      </c>
      <c r="E91" s="10">
        <f t="shared" si="2"/>
        <v>732</v>
      </c>
      <c r="F91" s="10">
        <f>IFERROR(_xlfn.NUMBERVALUE(SUBSTITUTE(VLOOKUP(TEXT(A91,"#"),'EXCEL SMX'!B:Q,9,0),",",".")),"0")*E91</f>
        <v>1500.6</v>
      </c>
      <c r="G91" s="10">
        <f>IFERROR(_xlfn.NUMBERVALUE(SUBSTITUTE(VLOOKUP(TEXT(A91,"#"),'EXCEL SMX'!B:Q,16,0),",","."))/100,"0")*F91</f>
        <v>0</v>
      </c>
      <c r="H91" s="10">
        <f t="shared" si="3"/>
        <v>1500.6</v>
      </c>
    </row>
    <row r="92" spans="1:8" ht="17" thickBot="1">
      <c r="A92" s="86">
        <v>7861033003047</v>
      </c>
      <c r="B92" s="83" t="s">
        <v>393</v>
      </c>
      <c r="C92" s="19">
        <f>+IFERROR(VLOOKUP(TEXT(A92,"#"),'EXCEL SMX'!B:I,8,0),0)</f>
        <v>0</v>
      </c>
      <c r="D92" s="19">
        <f>IFERROR(VLOOKUP(TEXT(A92,"#"),'EXCEL SMX'!B:S,18,0),0)</f>
        <v>0</v>
      </c>
      <c r="E92" s="10">
        <f t="shared" si="2"/>
        <v>0</v>
      </c>
      <c r="F92" s="10">
        <f>IFERROR(_xlfn.NUMBERVALUE(SUBSTITUTE(VLOOKUP(TEXT(A92,"#"),'EXCEL SMX'!B:Q,9,0),",",".")),"0")*E92</f>
        <v>0</v>
      </c>
      <c r="G92" s="10">
        <f>IFERROR(_xlfn.NUMBERVALUE(SUBSTITUTE(VLOOKUP(TEXT(A92,"#"),'EXCEL SMX'!B:Q,16,0),",","."))/100,"0")*F92</f>
        <v>0</v>
      </c>
      <c r="H92" s="10">
        <f t="shared" si="3"/>
        <v>0</v>
      </c>
    </row>
    <row r="93" spans="1:8" ht="17" thickBot="1">
      <c r="A93" s="86">
        <v>7861033003139</v>
      </c>
      <c r="B93" s="83" t="s">
        <v>396</v>
      </c>
      <c r="C93" s="19">
        <f>+IFERROR(VLOOKUP(TEXT(A93,"#"),'EXCEL SMX'!B:I,8,0),0)</f>
        <v>0</v>
      </c>
      <c r="D93" s="19">
        <f>IFERROR(VLOOKUP(TEXT(A93,"#"),'EXCEL SMX'!B:S,18,0),0)</f>
        <v>0</v>
      </c>
      <c r="E93" s="10">
        <f t="shared" si="2"/>
        <v>0</v>
      </c>
      <c r="F93" s="10">
        <f>IFERROR(_xlfn.NUMBERVALUE(SUBSTITUTE(VLOOKUP(TEXT(A93,"#"),'EXCEL SMX'!B:Q,9,0),",",".")),"0")*E93</f>
        <v>0</v>
      </c>
      <c r="G93" s="10">
        <f>IFERROR(_xlfn.NUMBERVALUE(SUBSTITUTE(VLOOKUP(TEXT(A93,"#"),'EXCEL SMX'!B:Q,16,0),",","."))/100,"0")*F93</f>
        <v>0</v>
      </c>
      <c r="H93" s="10">
        <f t="shared" si="3"/>
        <v>0</v>
      </c>
    </row>
    <row r="94" spans="1:8" ht="17" thickBot="1">
      <c r="A94" s="86">
        <v>7861033003146</v>
      </c>
      <c r="B94" s="83" t="s">
        <v>395</v>
      </c>
      <c r="C94" s="19">
        <f>+IFERROR(VLOOKUP(TEXT(A94,"#"),'EXCEL SMX'!B:I,8,0),0)</f>
        <v>0</v>
      </c>
      <c r="D94" s="19">
        <f>IFERROR(VLOOKUP(TEXT(A94,"#"),'EXCEL SMX'!B:S,18,0),0)</f>
        <v>0</v>
      </c>
      <c r="E94" s="10">
        <f t="shared" si="2"/>
        <v>0</v>
      </c>
      <c r="F94" s="10">
        <f>IFERROR(_xlfn.NUMBERVALUE(SUBSTITUTE(VLOOKUP(TEXT(A94,"#"),'EXCEL SMX'!B:Q,9,0),",",".")),"0")*E94</f>
        <v>0</v>
      </c>
      <c r="G94" s="10">
        <f>IFERROR(_xlfn.NUMBERVALUE(SUBSTITUTE(VLOOKUP(TEXT(A94,"#"),'EXCEL SMX'!B:Q,16,0),",","."))/100,"0")*F94</f>
        <v>0</v>
      </c>
      <c r="H94" s="10">
        <f t="shared" si="3"/>
        <v>0</v>
      </c>
    </row>
    <row r="95" spans="1:8" ht="17" thickBot="1">
      <c r="A95" s="86">
        <v>7861033003016</v>
      </c>
      <c r="B95" s="83" t="s">
        <v>394</v>
      </c>
      <c r="C95" s="19">
        <f>+IFERROR(VLOOKUP(TEXT(A95,"#"),'EXCEL SMX'!B:I,8,0),0)</f>
        <v>0</v>
      </c>
      <c r="D95" s="19">
        <f>IFERROR(VLOOKUP(TEXT(A95,"#"),'EXCEL SMX'!B:S,18,0),0)</f>
        <v>0</v>
      </c>
      <c r="E95" s="10">
        <f t="shared" si="2"/>
        <v>0</v>
      </c>
      <c r="F95" s="10">
        <f>IFERROR(_xlfn.NUMBERVALUE(SUBSTITUTE(VLOOKUP(TEXT(A95,"#"),'EXCEL SMX'!B:Q,9,0),",",".")),"0")*E95</f>
        <v>0</v>
      </c>
      <c r="G95" s="10">
        <f>IFERROR(_xlfn.NUMBERVALUE(SUBSTITUTE(VLOOKUP(TEXT(A95,"#"),'EXCEL SMX'!B:Q,16,0),",","."))/100,"0")*F95</f>
        <v>0</v>
      </c>
      <c r="H95" s="10">
        <f t="shared" si="3"/>
        <v>0</v>
      </c>
    </row>
    <row r="96" spans="1:8" ht="16">
      <c r="A96" s="71">
        <v>7861033003061</v>
      </c>
      <c r="B96" s="83" t="s">
        <v>397</v>
      </c>
      <c r="C96" s="19">
        <f>+IFERROR(VLOOKUP(TEXT(A96,"#"),'EXCEL SMX'!B:I,8,0),0)</f>
        <v>0</v>
      </c>
      <c r="D96" s="19">
        <f>IFERROR(VLOOKUP(TEXT(A96,"#"),'EXCEL SMX'!B:S,18,0),0)</f>
        <v>0</v>
      </c>
      <c r="E96" s="10">
        <f t="shared" si="2"/>
        <v>0</v>
      </c>
      <c r="F96" s="10">
        <f>IFERROR(_xlfn.NUMBERVALUE(SUBSTITUTE(VLOOKUP(TEXT(A96,"#"),'EXCEL SMX'!B:Q,9,0),",",".")),"0")*E96</f>
        <v>0</v>
      </c>
      <c r="G96" s="10">
        <f>IFERROR(_xlfn.NUMBERVALUE(SUBSTITUTE(VLOOKUP(TEXT(A96,"#"),'EXCEL SMX'!B:Q,16,0),",","."))/100,"0")*F96</f>
        <v>0</v>
      </c>
      <c r="H96" s="10">
        <f t="shared" si="3"/>
        <v>0</v>
      </c>
    </row>
    <row r="97" spans="1:8">
      <c r="A97" s="87" t="s">
        <v>161</v>
      </c>
      <c r="B97" s="91" t="s">
        <v>205</v>
      </c>
      <c r="C97" s="19">
        <f>+IFERROR(VLOOKUP(TEXT(A97,"#"),'EXCEL SMX'!B:I,8,0),0)</f>
        <v>0</v>
      </c>
      <c r="D97" s="19">
        <f>IFERROR(VLOOKUP(TEXT(A97,"#"),'EXCEL SMX'!B:S,18,0),0)</f>
        <v>0</v>
      </c>
      <c r="E97" s="10">
        <f t="shared" si="2"/>
        <v>0</v>
      </c>
      <c r="F97" s="10">
        <f>IFERROR(_xlfn.NUMBERVALUE(SUBSTITUTE(VLOOKUP(TEXT(A97,"#"),'EXCEL SMX'!B:Q,9,0),",",".")),"0")*E97</f>
        <v>0</v>
      </c>
      <c r="G97" s="10">
        <f>IFERROR(_xlfn.NUMBERVALUE(SUBSTITUTE(VLOOKUP(TEXT(A97,"#"),'EXCEL SMX'!B:Q,16,0),",","."))/100,"0")*F97</f>
        <v>0</v>
      </c>
      <c r="H97" s="10">
        <f t="shared" si="3"/>
        <v>0</v>
      </c>
    </row>
    <row r="98" spans="1:8">
      <c r="A98" s="87" t="s">
        <v>162</v>
      </c>
      <c r="B98" s="93" t="s">
        <v>206</v>
      </c>
      <c r="C98" s="19">
        <f>+IFERROR(VLOOKUP(TEXT(A98,"#"),'EXCEL SMX'!B:I,8,0),0)</f>
        <v>0</v>
      </c>
      <c r="D98" s="19">
        <f>IFERROR(VLOOKUP(TEXT(A98,"#"),'EXCEL SMX'!B:S,18,0),0)</f>
        <v>0</v>
      </c>
      <c r="E98" s="10">
        <f t="shared" si="2"/>
        <v>0</v>
      </c>
      <c r="F98" s="10">
        <f>IFERROR(_xlfn.NUMBERVALUE(SUBSTITUTE(VLOOKUP(TEXT(A98,"#"),'EXCEL SMX'!B:Q,9,0),",",".")),"0")*E98</f>
        <v>0</v>
      </c>
      <c r="G98" s="10">
        <f>IFERROR(_xlfn.NUMBERVALUE(SUBSTITUTE(VLOOKUP(TEXT(A98,"#"),'EXCEL SMX'!B:Q,16,0),",","."))/100,"0")*F98</f>
        <v>0</v>
      </c>
      <c r="H98" s="10">
        <f t="shared" si="3"/>
        <v>0</v>
      </c>
    </row>
    <row r="99" spans="1:8">
      <c r="A99" s="87" t="s">
        <v>164</v>
      </c>
      <c r="B99" s="93" t="s">
        <v>204</v>
      </c>
      <c r="C99" s="19">
        <f>+IFERROR(VLOOKUP(TEXT(A99,"#"),'EXCEL SMX'!B:I,8,0),0)</f>
        <v>0</v>
      </c>
      <c r="D99" s="19">
        <f>IFERROR(VLOOKUP(TEXT(A99,"#"),'EXCEL SMX'!B:S,18,0),0)</f>
        <v>0</v>
      </c>
      <c r="E99" s="10">
        <f t="shared" si="2"/>
        <v>0</v>
      </c>
      <c r="F99" s="10">
        <f>IFERROR(_xlfn.NUMBERVALUE(SUBSTITUTE(VLOOKUP(TEXT(A99,"#"),'EXCEL SMX'!B:Q,9,0),",",".")),"0")*E99</f>
        <v>0</v>
      </c>
      <c r="G99" s="10">
        <f>IFERROR(_xlfn.NUMBERVALUE(SUBSTITUTE(VLOOKUP(TEXT(A99,"#"),'EXCEL SMX'!B:Q,16,0),",","."))/100,"0")*F99</f>
        <v>0</v>
      </c>
      <c r="H99" s="10">
        <f t="shared" si="3"/>
        <v>0</v>
      </c>
    </row>
    <row r="100" spans="1:8">
      <c r="A100" s="87" t="s">
        <v>165</v>
      </c>
      <c r="B100" s="93" t="s">
        <v>209</v>
      </c>
      <c r="C100" s="19">
        <f>+IFERROR(VLOOKUP(TEXT(A100,"#"),'EXCEL SMX'!B:I,8,0),0)</f>
        <v>0</v>
      </c>
      <c r="D100" s="19">
        <f>IFERROR(VLOOKUP(TEXT(A100,"#"),'EXCEL SMX'!B:S,18,0),0)</f>
        <v>0</v>
      </c>
      <c r="E100" s="10">
        <f t="shared" si="2"/>
        <v>0</v>
      </c>
      <c r="F100" s="10">
        <f>IFERROR(_xlfn.NUMBERVALUE(SUBSTITUTE(VLOOKUP(TEXT(A100,"#"),'EXCEL SMX'!B:Q,9,0),",",".")),"0")*E100</f>
        <v>0</v>
      </c>
      <c r="G100" s="10">
        <f>IFERROR(_xlfn.NUMBERVALUE(SUBSTITUTE(VLOOKUP(TEXT(A100,"#"),'EXCEL SMX'!B:Q,16,0),",","."))/100,"0")*F100</f>
        <v>0</v>
      </c>
      <c r="H100" s="10">
        <f t="shared" si="3"/>
        <v>0</v>
      </c>
    </row>
    <row r="101" spans="1:8">
      <c r="A101" s="87" t="s">
        <v>166</v>
      </c>
      <c r="B101" s="93" t="s">
        <v>208</v>
      </c>
      <c r="C101" s="19">
        <f>+IFERROR(VLOOKUP(TEXT(A101,"#"),'EXCEL SMX'!B:I,8,0),0)</f>
        <v>0</v>
      </c>
      <c r="D101" s="19">
        <f>IFERROR(VLOOKUP(TEXT(A101,"#"),'EXCEL SMX'!B:S,18,0),0)</f>
        <v>0</v>
      </c>
      <c r="E101" s="10">
        <f t="shared" si="2"/>
        <v>0</v>
      </c>
      <c r="F101" s="10">
        <f>IFERROR(_xlfn.NUMBERVALUE(SUBSTITUTE(VLOOKUP(TEXT(A101,"#"),'EXCEL SMX'!B:Q,9,0),",",".")),"0")*E101</f>
        <v>0</v>
      </c>
      <c r="G101" s="10">
        <f>IFERROR(_xlfn.NUMBERVALUE(SUBSTITUTE(VLOOKUP(TEXT(A101,"#"),'EXCEL SMX'!B:Q,16,0),",","."))/100,"0")*F101</f>
        <v>0</v>
      </c>
      <c r="H101" s="10">
        <f t="shared" si="3"/>
        <v>0</v>
      </c>
    </row>
    <row r="102" spans="1:8">
      <c r="A102" s="87" t="s">
        <v>167</v>
      </c>
      <c r="B102" s="93" t="s">
        <v>207</v>
      </c>
      <c r="C102" s="19">
        <f>+IFERROR(VLOOKUP(TEXT(A102,"#"),'EXCEL SMX'!B:I,8,0),0)</f>
        <v>0</v>
      </c>
      <c r="D102" s="19">
        <f>IFERROR(VLOOKUP(TEXT(A102,"#"),'EXCEL SMX'!B:S,18,0),0)</f>
        <v>0</v>
      </c>
      <c r="E102" s="10">
        <f t="shared" si="2"/>
        <v>0</v>
      </c>
      <c r="F102" s="10">
        <f>IFERROR(_xlfn.NUMBERVALUE(SUBSTITUTE(VLOOKUP(TEXT(A102,"#"),'EXCEL SMX'!B:Q,9,0),",",".")),"0")*E102</f>
        <v>0</v>
      </c>
      <c r="G102" s="10">
        <f>IFERROR(_xlfn.NUMBERVALUE(SUBSTITUTE(VLOOKUP(TEXT(A102,"#"),'EXCEL SMX'!B:Q,16,0),",","."))/100,"0")*F102</f>
        <v>0</v>
      </c>
      <c r="H102" s="10">
        <f t="shared" si="3"/>
        <v>0</v>
      </c>
    </row>
    <row r="103" spans="1:8">
      <c r="A103" s="87" t="s">
        <v>168</v>
      </c>
      <c r="B103" s="93" t="s">
        <v>210</v>
      </c>
      <c r="C103" s="19">
        <f>+IFERROR(VLOOKUP(TEXT(A103,"#"),'EXCEL SMX'!B:I,8,0),0)</f>
        <v>0</v>
      </c>
      <c r="D103" s="19">
        <f>IFERROR(VLOOKUP(TEXT(A103,"#"),'EXCEL SMX'!B:S,18,0),0)</f>
        <v>0</v>
      </c>
      <c r="E103" s="10">
        <f t="shared" si="2"/>
        <v>0</v>
      </c>
      <c r="F103" s="10">
        <f>IFERROR(_xlfn.NUMBERVALUE(SUBSTITUTE(VLOOKUP(TEXT(A103,"#"),'EXCEL SMX'!B:Q,9,0),",",".")),"0")*E103</f>
        <v>0</v>
      </c>
      <c r="G103" s="10">
        <f>IFERROR(_xlfn.NUMBERVALUE(SUBSTITUTE(VLOOKUP(TEXT(A103,"#"),'EXCEL SMX'!B:Q,16,0),",","."))/100,"0")*F103</f>
        <v>0</v>
      </c>
      <c r="H103" s="10">
        <f t="shared" si="3"/>
        <v>0</v>
      </c>
    </row>
    <row r="104" spans="1:8">
      <c r="A104" s="87" t="s">
        <v>169</v>
      </c>
      <c r="B104" s="93" t="s">
        <v>211</v>
      </c>
      <c r="C104" s="19">
        <f>+IFERROR(VLOOKUP(TEXT(A104,"#"),'EXCEL SMX'!B:I,8,0),0)</f>
        <v>0</v>
      </c>
      <c r="D104" s="19">
        <f>IFERROR(VLOOKUP(TEXT(A104,"#"),'EXCEL SMX'!B:S,18,0),0)</f>
        <v>0</v>
      </c>
      <c r="E104" s="10">
        <f t="shared" si="2"/>
        <v>0</v>
      </c>
      <c r="F104" s="10">
        <f>IFERROR(_xlfn.NUMBERVALUE(SUBSTITUTE(VLOOKUP(TEXT(A104,"#"),'EXCEL SMX'!B:Q,9,0),",",".")),"0")*E104</f>
        <v>0</v>
      </c>
      <c r="G104" s="10">
        <f>IFERROR(_xlfn.NUMBERVALUE(SUBSTITUTE(VLOOKUP(TEXT(A104,"#"),'EXCEL SMX'!B:Q,16,0),",","."))/100,"0")*F104</f>
        <v>0</v>
      </c>
      <c r="H104" s="10">
        <f t="shared" si="3"/>
        <v>0</v>
      </c>
    </row>
    <row r="105" spans="1:8">
      <c r="A105" s="87" t="s">
        <v>170</v>
      </c>
      <c r="B105" s="93" t="s">
        <v>212</v>
      </c>
      <c r="C105" s="19">
        <f>+IFERROR(VLOOKUP(TEXT(A105,"#"),'EXCEL SMX'!B:I,8,0),0)</f>
        <v>0</v>
      </c>
      <c r="D105" s="19">
        <f>IFERROR(VLOOKUP(TEXT(A105,"#"),'EXCEL SMX'!B:S,18,0),0)</f>
        <v>0</v>
      </c>
      <c r="E105" s="10">
        <f t="shared" si="2"/>
        <v>0</v>
      </c>
      <c r="F105" s="10">
        <f>IFERROR(_xlfn.NUMBERVALUE(SUBSTITUTE(VLOOKUP(TEXT(A105,"#"),'EXCEL SMX'!B:Q,9,0),",",".")),"0")*E105</f>
        <v>0</v>
      </c>
      <c r="G105" s="10">
        <f>IFERROR(_xlfn.NUMBERVALUE(SUBSTITUTE(VLOOKUP(TEXT(A105,"#"),'EXCEL SMX'!B:Q,16,0),",","."))/100,"0")*F105</f>
        <v>0</v>
      </c>
      <c r="H105" s="10">
        <f t="shared" si="3"/>
        <v>0</v>
      </c>
    </row>
    <row r="106" spans="1:8">
      <c r="A106" s="87" t="s">
        <v>171</v>
      </c>
      <c r="B106" s="93" t="s">
        <v>213</v>
      </c>
      <c r="C106" s="19">
        <f>+IFERROR(VLOOKUP(TEXT(A106,"#"),'EXCEL SMX'!B:I,8,0),0)</f>
        <v>0</v>
      </c>
      <c r="D106" s="19">
        <f>IFERROR(VLOOKUP(TEXT(A106,"#"),'EXCEL SMX'!B:S,18,0),0)</f>
        <v>0</v>
      </c>
      <c r="E106" s="10">
        <f t="shared" si="2"/>
        <v>0</v>
      </c>
      <c r="F106" s="10">
        <f>IFERROR(_xlfn.NUMBERVALUE(SUBSTITUTE(VLOOKUP(TEXT(A106,"#"),'EXCEL SMX'!B:Q,9,0),",",".")),"0")*E106</f>
        <v>0</v>
      </c>
      <c r="G106" s="10">
        <f>IFERROR(_xlfn.NUMBERVALUE(SUBSTITUTE(VLOOKUP(TEXT(A106,"#"),'EXCEL SMX'!B:Q,16,0),",","."))/100,"0")*F106</f>
        <v>0</v>
      </c>
      <c r="H106" s="10">
        <f t="shared" si="3"/>
        <v>0</v>
      </c>
    </row>
    <row r="107" spans="1:8">
      <c r="A107" s="87" t="s">
        <v>172</v>
      </c>
      <c r="B107" s="93" t="s">
        <v>214</v>
      </c>
      <c r="C107" s="19" t="str">
        <f>+IFERROR(VLOOKUP(TEXT(A107,"#"),'EXCEL SMX'!B:I,8,0),0)</f>
        <v>0012</v>
      </c>
      <c r="D107" s="19" t="str">
        <f>IFERROR(VLOOKUP(TEXT(A107,"#"),'EXCEL SMX'!B:S,18,0),0)</f>
        <v>000023</v>
      </c>
      <c r="E107" s="10">
        <f t="shared" si="2"/>
        <v>276</v>
      </c>
      <c r="F107" s="10">
        <f>IFERROR(_xlfn.NUMBERVALUE(SUBSTITUTE(VLOOKUP(TEXT(A107,"#"),'EXCEL SMX'!B:Q,9,0),",",".")),"0")*E107</f>
        <v>173.88</v>
      </c>
      <c r="G107" s="10">
        <f>IFERROR(_xlfn.NUMBERVALUE(SUBSTITUTE(VLOOKUP(TEXT(A107,"#"),'EXCEL SMX'!B:Q,16,0),",","."))/100,"0")*F107</f>
        <v>0</v>
      </c>
      <c r="H107" s="10">
        <f t="shared" si="3"/>
        <v>173.88</v>
      </c>
    </row>
    <row r="108" spans="1:8">
      <c r="A108" s="87" t="s">
        <v>173</v>
      </c>
      <c r="B108" s="93" t="s">
        <v>215</v>
      </c>
      <c r="C108" s="19" t="str">
        <f>+IFERROR(VLOOKUP(TEXT(A108,"#"),'EXCEL SMX'!B:I,8,0),0)</f>
        <v>0006</v>
      </c>
      <c r="D108" s="19" t="str">
        <f>IFERROR(VLOOKUP(TEXT(A108,"#"),'EXCEL SMX'!B:S,18,0),0)</f>
        <v>000003</v>
      </c>
      <c r="E108" s="10">
        <f t="shared" si="2"/>
        <v>18</v>
      </c>
      <c r="F108" s="10">
        <f>IFERROR(_xlfn.NUMBERVALUE(SUBSTITUTE(VLOOKUP(TEXT(A108,"#"),'EXCEL SMX'!B:Q,9,0),",",".")),"0")*E108</f>
        <v>40.5</v>
      </c>
      <c r="G108" s="10">
        <f>IFERROR(_xlfn.NUMBERVALUE(SUBSTITUTE(VLOOKUP(TEXT(A108,"#"),'EXCEL SMX'!B:Q,16,0),",","."))/100,"0")*F108</f>
        <v>0</v>
      </c>
      <c r="H108" s="10">
        <f t="shared" si="3"/>
        <v>40.5</v>
      </c>
    </row>
    <row r="109" spans="1:8">
      <c r="A109" s="87" t="s">
        <v>174</v>
      </c>
      <c r="B109" s="93" t="s">
        <v>216</v>
      </c>
      <c r="C109" s="19" t="str">
        <f>+IFERROR(VLOOKUP(TEXT(A109,"#"),'EXCEL SMX'!B:I,8,0),0)</f>
        <v>0006</v>
      </c>
      <c r="D109" s="19" t="str">
        <f>IFERROR(VLOOKUP(TEXT(A109,"#"),'EXCEL SMX'!B:S,18,0),0)</f>
        <v>000008</v>
      </c>
      <c r="E109" s="10">
        <f t="shared" si="2"/>
        <v>48</v>
      </c>
      <c r="F109" s="10">
        <f>IFERROR(_xlfn.NUMBERVALUE(SUBSTITUTE(VLOOKUP(TEXT(A109,"#"),'EXCEL SMX'!B:Q,9,0),",",".")),"0")*E109</f>
        <v>182.39999999999998</v>
      </c>
      <c r="G109" s="10">
        <f>IFERROR(_xlfn.NUMBERVALUE(SUBSTITUTE(VLOOKUP(TEXT(A109,"#"),'EXCEL SMX'!B:Q,16,0),",","."))/100,"0")*F109</f>
        <v>36.479999999999997</v>
      </c>
      <c r="H109" s="10">
        <f t="shared" si="3"/>
        <v>145.91999999999999</v>
      </c>
    </row>
    <row r="110" spans="1:8">
      <c r="A110" s="87" t="s">
        <v>176</v>
      </c>
      <c r="B110" s="93" t="s">
        <v>217</v>
      </c>
      <c r="C110" s="19">
        <f>+IFERROR(VLOOKUP(TEXT(A110,"#"),'EXCEL SMX'!B:I,8,0),0)</f>
        <v>0</v>
      </c>
      <c r="D110" s="19">
        <f>IFERROR(VLOOKUP(TEXT(A110,"#"),'EXCEL SMX'!B:S,18,0),0)</f>
        <v>0</v>
      </c>
      <c r="E110" s="10">
        <f t="shared" si="2"/>
        <v>0</v>
      </c>
      <c r="F110" s="10">
        <f>IFERROR(_xlfn.NUMBERVALUE(SUBSTITUTE(VLOOKUP(TEXT(A110,"#"),'EXCEL SMX'!B:Q,9,0),",",".")),"0")*E110</f>
        <v>0</v>
      </c>
      <c r="G110" s="10">
        <f>IFERROR(_xlfn.NUMBERVALUE(SUBSTITUTE(VLOOKUP(TEXT(A110,"#"),'EXCEL SMX'!B:Q,16,0),",","."))/100,"0")*F110</f>
        <v>0</v>
      </c>
      <c r="H110" s="10">
        <f t="shared" si="3"/>
        <v>0</v>
      </c>
    </row>
    <row r="111" spans="1:8">
      <c r="A111" s="87" t="s">
        <v>177</v>
      </c>
      <c r="B111" s="93" t="s">
        <v>218</v>
      </c>
      <c r="C111" s="19">
        <f>+IFERROR(VLOOKUP(TEXT(A111,"#"),'EXCEL SMX'!B:I,8,0),0)</f>
        <v>0</v>
      </c>
      <c r="D111" s="19">
        <f>IFERROR(VLOOKUP(TEXT(A111,"#"),'EXCEL SMX'!B:S,18,0),0)</f>
        <v>0</v>
      </c>
      <c r="E111" s="10">
        <f t="shared" si="2"/>
        <v>0</v>
      </c>
      <c r="F111" s="10">
        <f>IFERROR(_xlfn.NUMBERVALUE(SUBSTITUTE(VLOOKUP(TEXT(A111,"#"),'EXCEL SMX'!B:Q,9,0),",",".")),"0")*E111</f>
        <v>0</v>
      </c>
      <c r="G111" s="10">
        <f>IFERROR(_xlfn.NUMBERVALUE(SUBSTITUTE(VLOOKUP(TEXT(A111,"#"),'EXCEL SMX'!B:Q,16,0),",","."))/100,"0")*F111</f>
        <v>0</v>
      </c>
      <c r="H111" s="10">
        <f t="shared" si="3"/>
        <v>0</v>
      </c>
    </row>
    <row r="112" spans="1:8">
      <c r="A112" s="87" t="s">
        <v>179</v>
      </c>
      <c r="B112" s="93" t="s">
        <v>219</v>
      </c>
      <c r="C112" s="19">
        <f>+IFERROR(VLOOKUP(TEXT(A112,"#"),'EXCEL SMX'!B:I,8,0),0)</f>
        <v>0</v>
      </c>
      <c r="D112" s="19">
        <f>IFERROR(VLOOKUP(TEXT(A112,"#"),'EXCEL SMX'!B:S,18,0),0)</f>
        <v>0</v>
      </c>
      <c r="E112" s="10">
        <f t="shared" si="2"/>
        <v>0</v>
      </c>
      <c r="F112" s="10">
        <f>IFERROR(_xlfn.NUMBERVALUE(SUBSTITUTE(VLOOKUP(TEXT(A112,"#"),'EXCEL SMX'!B:Q,9,0),",",".")),"0")*E112</f>
        <v>0</v>
      </c>
      <c r="G112" s="10">
        <f>IFERROR(_xlfn.NUMBERVALUE(SUBSTITUTE(VLOOKUP(TEXT(A112,"#"),'EXCEL SMX'!B:Q,16,0),",","."))/100,"0")*F112</f>
        <v>0</v>
      </c>
      <c r="H112" s="10">
        <f t="shared" si="3"/>
        <v>0</v>
      </c>
    </row>
    <row r="113" spans="1:10">
      <c r="A113" s="87" t="s">
        <v>180</v>
      </c>
      <c r="B113" s="93" t="s">
        <v>220</v>
      </c>
      <c r="C113" s="19">
        <f>+IFERROR(VLOOKUP(TEXT(A113,"#"),'EXCEL SMX'!B:I,8,0),0)</f>
        <v>0</v>
      </c>
      <c r="D113" s="19">
        <f>IFERROR(VLOOKUP(TEXT(A113,"#"),'EXCEL SMX'!B:S,18,0),0)</f>
        <v>0</v>
      </c>
      <c r="E113" s="10">
        <f t="shared" si="2"/>
        <v>0</v>
      </c>
      <c r="F113" s="10">
        <f>IFERROR(_xlfn.NUMBERVALUE(SUBSTITUTE(VLOOKUP(TEXT(A113,"#"),'EXCEL SMX'!B:Q,9,0),",",".")),"0")*E113</f>
        <v>0</v>
      </c>
      <c r="G113" s="10">
        <f>IFERROR(_xlfn.NUMBERVALUE(SUBSTITUTE(VLOOKUP(TEXT(A113,"#"),'EXCEL SMX'!B:Q,16,0),",","."))/100,"0")*F113</f>
        <v>0</v>
      </c>
      <c r="H113" s="10">
        <f t="shared" si="3"/>
        <v>0</v>
      </c>
    </row>
    <row r="114" spans="1:10">
      <c r="A114" s="16"/>
      <c r="B114" s="17"/>
      <c r="C114" s="88"/>
      <c r="D114" s="20"/>
      <c r="E114" s="18"/>
      <c r="F114" s="18"/>
      <c r="G114" s="10"/>
      <c r="H114" s="10"/>
    </row>
    <row r="115" spans="1:10" ht="16.5" customHeight="1">
      <c r="A115" s="16"/>
      <c r="B115" s="17"/>
      <c r="C115" s="19"/>
      <c r="D115" s="20"/>
      <c r="E115" s="18"/>
      <c r="F115" s="18"/>
      <c r="G115" s="10"/>
      <c r="H115" s="10"/>
    </row>
    <row r="116" spans="1:10" ht="15.75" customHeight="1">
      <c r="A116" s="74"/>
      <c r="B116" s="75"/>
      <c r="C116" s="19"/>
      <c r="D116" s="21"/>
      <c r="E116" s="64" t="s">
        <v>11</v>
      </c>
      <c r="F116" s="15">
        <f>+SUM(F2:F113)</f>
        <v>33625.4</v>
      </c>
      <c r="G116" s="10">
        <f>SUM(G2:G115)</f>
        <v>3509.0880000000002</v>
      </c>
      <c r="H116" s="10">
        <f>+F116-G116</f>
        <v>30116.312000000002</v>
      </c>
      <c r="I116" s="7"/>
    </row>
    <row r="117" spans="1:10">
      <c r="A117" s="16"/>
      <c r="B117" s="17"/>
      <c r="C117" s="19"/>
      <c r="E117" s="65" t="s">
        <v>10</v>
      </c>
      <c r="F117" s="10">
        <f>0.12*SUM($H$68,,$H$60,$H$47,$H$46,H61,H62,H63,H89,H90,H91)</f>
        <v>405.71999999999997</v>
      </c>
      <c r="G117" s="4">
        <v>0</v>
      </c>
      <c r="H117" s="10">
        <f>+F117-G117</f>
        <v>405.71999999999997</v>
      </c>
    </row>
    <row r="118" spans="1:10" ht="12" customHeight="1">
      <c r="E118" s="65" t="s">
        <v>9</v>
      </c>
      <c r="F118" s="9"/>
      <c r="G118" s="10">
        <f>+IFERROR(VLOOKUP(TEXT(A118,"#"),'EXCEL SMX'!B:Q,16,0),"0")*F118</f>
        <v>0</v>
      </c>
      <c r="H118" s="10">
        <f>H116+H117</f>
        <v>30522.032000000003</v>
      </c>
    </row>
    <row r="119" spans="1:10">
      <c r="B119" s="4" t="s">
        <v>8</v>
      </c>
      <c r="C119" s="23">
        <f>SUM(D2:D68)</f>
        <v>0</v>
      </c>
      <c r="E119" s="11"/>
      <c r="F119" s="11"/>
      <c r="G119" s="10">
        <f>+IFERROR(VLOOKUP(TEXT(A119,"#"),'EXCEL SMX'!B:Q,16,0),"0")*F119</f>
        <v>0</v>
      </c>
      <c r="H119" s="12"/>
    </row>
    <row r="120" spans="1:10">
      <c r="B120" s="4" t="s">
        <v>7</v>
      </c>
      <c r="E120" s="11"/>
      <c r="F120" s="11"/>
      <c r="G120" s="10">
        <f>+IFERROR(VLOOKUP(TEXT(A120,"#"),'EXCEL SMX'!B:Q,16,0),"0")*F120</f>
        <v>0</v>
      </c>
      <c r="H120" s="12" t="s">
        <v>6</v>
      </c>
    </row>
    <row r="121" spans="1:10">
      <c r="B121" s="4" t="s">
        <v>5</v>
      </c>
      <c r="C121" s="21"/>
      <c r="D121" s="21"/>
      <c r="E121" s="13">
        <f>SUM(E2:E113)</f>
        <v>12097</v>
      </c>
      <c r="F121" s="11"/>
      <c r="G121" s="12"/>
      <c r="H121" s="14">
        <f>+E121</f>
        <v>12097</v>
      </c>
    </row>
    <row r="122" spans="1:10">
      <c r="E122" s="6"/>
    </row>
    <row r="123" spans="1:10">
      <c r="B123" s="4" t="s">
        <v>4</v>
      </c>
      <c r="C123" s="22"/>
      <c r="D123" s="23"/>
    </row>
    <row r="124" spans="1:10">
      <c r="B124" s="4" t="s">
        <v>3</v>
      </c>
    </row>
    <row r="125" spans="1:10">
      <c r="B125" s="4" t="s">
        <v>2</v>
      </c>
      <c r="I125" s="8"/>
      <c r="J125" s="8"/>
    </row>
    <row r="126" spans="1:10">
      <c r="B126" s="4" t="s">
        <v>1</v>
      </c>
    </row>
    <row r="128" spans="1:10">
      <c r="B128" s="4" t="s">
        <v>0</v>
      </c>
    </row>
    <row r="130" spans="2:4">
      <c r="B130" s="6"/>
      <c r="C130" s="22"/>
      <c r="D130" s="23"/>
    </row>
    <row r="131" spans="2:4">
      <c r="B131" s="6"/>
      <c r="C131" s="22"/>
      <c r="D131" s="23"/>
    </row>
    <row r="132" spans="2:4">
      <c r="D132" s="23"/>
    </row>
    <row r="133" spans="2:4">
      <c r="D133" s="23"/>
    </row>
    <row r="134" spans="2:4">
      <c r="D134" s="23"/>
    </row>
    <row r="135" spans="2:4">
      <c r="D135" s="23"/>
    </row>
  </sheetData>
  <autoFilter ref="A1:H121" xr:uid="{00000000-0009-0000-0000-000001000000}"/>
  <conditionalFormatting sqref="A115:B115 A117:B117 A1:H2 B60:B64 B64:C64 C61:C63 A3:C60 A92:C113 C89:C91 A65:C88 D3:H113">
    <cfRule type="expression" dxfId="27" priority="6">
      <formula>$G1&lt;&gt;0</formula>
    </cfRule>
  </conditionalFormatting>
  <conditionalFormatting sqref="B115">
    <cfRule type="expression" dxfId="26" priority="12">
      <formula>$G68&lt;&gt;0</formula>
    </cfRule>
  </conditionalFormatting>
  <conditionalFormatting sqref="A61:A64">
    <cfRule type="expression" dxfId="25" priority="2">
      <formula>$G61&lt;&gt;0</formula>
    </cfRule>
  </conditionalFormatting>
  <conditionalFormatting sqref="A89:A91">
    <cfRule type="expression" dxfId="24" priority="1">
      <formula>$G89&lt;&gt;0</formula>
    </cfRule>
  </conditionalFormatting>
  <pageMargins left="0" right="0" top="0" bottom="0" header="0.31496062992125984" footer="0.31496062992125984"/>
  <pageSetup paperSize="9" scale="70" fitToWidth="0" orientation="landscape" horizontalDpi="120" verticalDpi="7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baseColWidth="10" defaultColWidth="11.83203125" defaultRowHeight="15"/>
  <cols>
    <col min="1" max="1" width="13.6640625" style="27" customWidth="1"/>
    <col min="2" max="2" width="10.5" style="27" hidden="1" customWidth="1"/>
    <col min="3" max="3" width="52.5" style="27" bestFit="1" customWidth="1"/>
    <col min="4" max="4" width="9.1640625" style="41" bestFit="1" customWidth="1"/>
    <col min="5" max="5" width="15" style="41" bestFit="1" customWidth="1"/>
    <col min="6" max="6" width="13.5" style="41" bestFit="1" customWidth="1"/>
    <col min="7" max="7" width="10.33203125" style="27" hidden="1" customWidth="1"/>
    <col min="8" max="8" width="12.83203125" style="27" hidden="1" customWidth="1"/>
    <col min="9" max="9" width="10" style="38" bestFit="1" customWidth="1"/>
    <col min="10" max="10" width="6.5" style="27" customWidth="1"/>
  </cols>
  <sheetData>
    <row r="1" spans="1:10">
      <c r="A1" s="33" t="s">
        <v>18</v>
      </c>
      <c r="B1" s="33" t="s">
        <v>91</v>
      </c>
      <c r="C1" s="33" t="s">
        <v>17</v>
      </c>
      <c r="D1" s="40" t="s">
        <v>16</v>
      </c>
      <c r="E1" s="40" t="s">
        <v>19</v>
      </c>
      <c r="F1" s="40" t="s">
        <v>15</v>
      </c>
      <c r="G1" s="33" t="s">
        <v>14</v>
      </c>
      <c r="H1" s="33" t="s">
        <v>13</v>
      </c>
      <c r="I1" s="37" t="s">
        <v>12</v>
      </c>
      <c r="J1" s="34" t="s">
        <v>10</v>
      </c>
    </row>
    <row r="2" spans="1:10">
      <c r="A2" s="27" t="s">
        <v>235</v>
      </c>
      <c r="B2" s="27" t="s">
        <v>317</v>
      </c>
      <c r="C2" s="27" t="s">
        <v>92</v>
      </c>
      <c r="D2" s="41">
        <f>_xlfn.NUMBERVALUE(IFERROR(VLOOKUP(TEXT(A2,"#"),'EXCEL SMX'!B:I,8,0),0))</f>
        <v>0</v>
      </c>
      <c r="E2" s="41">
        <f>_xlfn.NUMBERVALUE(VLOOKUP(A2,'FINAL BODEGA'!A:D,4,0))</f>
        <v>0</v>
      </c>
      <c r="F2" s="41">
        <f t="shared" ref="F2:F33" si="0">D2*E2</f>
        <v>0</v>
      </c>
      <c r="G2" s="27">
        <f>IFERROR(_xlfn.NUMBERVALUE(SUBSTITUTE(VLOOKUP(TEXT(A2,"#"),'EXCEL SMX'!B:Q,9,0),",",".")),"0")*F2</f>
        <v>0</v>
      </c>
      <c r="H2" s="27">
        <f>IFERROR(_xlfn.NUMBERVALUE(SUBSTITUTE(VLOOKUP(TEXT(A2,"#"),'EXCEL SMX'!B:Q,16,0),",","."))/100,"0")*G2</f>
        <v>0</v>
      </c>
      <c r="I2" s="38">
        <f t="shared" ref="I2:I33" si="1">G2-H2</f>
        <v>0</v>
      </c>
      <c r="J2" s="32"/>
    </row>
    <row r="3" spans="1:10">
      <c r="A3" s="27" t="s">
        <v>236</v>
      </c>
      <c r="B3" s="27" t="s">
        <v>317</v>
      </c>
      <c r="C3" s="27" t="s">
        <v>93</v>
      </c>
      <c r="D3" s="41">
        <f>_xlfn.NUMBERVALUE(IFERROR(VLOOKUP(TEXT(A3,"#"),'EXCEL SMX'!B:I,8,0),0))</f>
        <v>0</v>
      </c>
      <c r="E3" s="41">
        <f>_xlfn.NUMBERVALUE(VLOOKUP(A3,'FINAL BODEGA'!A:D,4,0))</f>
        <v>0</v>
      </c>
      <c r="F3" s="41">
        <f t="shared" si="0"/>
        <v>0</v>
      </c>
      <c r="G3" s="27">
        <f>IFERROR(_xlfn.NUMBERVALUE(SUBSTITUTE(VLOOKUP(TEXT(A3,"#"),'EXCEL SMX'!B:Q,9,0),",",".")),"0")*F3</f>
        <v>0</v>
      </c>
      <c r="H3" s="27">
        <f>IFERROR(_xlfn.NUMBERVALUE(SUBSTITUTE(VLOOKUP(TEXT(A3,"#"),'EXCEL SMX'!B:Q,16,0),",","."))/100,"0")*G3</f>
        <v>0</v>
      </c>
      <c r="I3" s="38">
        <f t="shared" si="1"/>
        <v>0</v>
      </c>
      <c r="J3" s="32"/>
    </row>
    <row r="4" spans="1:10">
      <c r="A4" s="27" t="s">
        <v>288</v>
      </c>
      <c r="B4" s="27" t="s">
        <v>318</v>
      </c>
      <c r="C4" s="27" t="s">
        <v>94</v>
      </c>
      <c r="D4" s="41">
        <f>_xlfn.NUMBERVALUE(IFERROR(VLOOKUP(TEXT(A4,"#"),'EXCEL SMX'!B:I,8,0),0))</f>
        <v>0</v>
      </c>
      <c r="E4" s="41">
        <f>_xlfn.NUMBERVALUE(VLOOKUP(A4,'FINAL BODEGA'!A:D,4,0))</f>
        <v>0</v>
      </c>
      <c r="F4" s="41">
        <f t="shared" si="0"/>
        <v>0</v>
      </c>
      <c r="G4" s="27">
        <f>IFERROR(_xlfn.NUMBERVALUE(SUBSTITUTE(VLOOKUP(TEXT(A4,"#"),'EXCEL SMX'!B:Q,9,0),",",".")),"0")*F4</f>
        <v>0</v>
      </c>
      <c r="H4" s="27">
        <f>IFERROR(_xlfn.NUMBERVALUE(SUBSTITUTE(VLOOKUP(TEXT(A4,"#"),'EXCEL SMX'!B:Q,16,0),",","."))/100,"0")*G4</f>
        <v>0</v>
      </c>
      <c r="I4" s="38">
        <f t="shared" si="1"/>
        <v>0</v>
      </c>
      <c r="J4" s="32"/>
    </row>
    <row r="5" spans="1:10">
      <c r="A5" s="27" t="s">
        <v>305</v>
      </c>
      <c r="B5" s="27" t="s">
        <v>318</v>
      </c>
      <c r="C5" s="27" t="s">
        <v>95</v>
      </c>
      <c r="D5" s="41">
        <f>_xlfn.NUMBERVALUE(IFERROR(VLOOKUP(TEXT(A5,"#"),'EXCEL SMX'!B:I,8,0),0))</f>
        <v>0</v>
      </c>
      <c r="E5" s="41">
        <f>_xlfn.NUMBERVALUE(VLOOKUP(A5,'FINAL BODEGA'!A:D,4,0))</f>
        <v>0</v>
      </c>
      <c r="F5" s="41">
        <f t="shared" si="0"/>
        <v>0</v>
      </c>
      <c r="G5" s="27">
        <f>IFERROR(_xlfn.NUMBERVALUE(SUBSTITUTE(VLOOKUP(TEXT(A5,"#"),'EXCEL SMX'!B:Q,9,0),",",".")),"0")*F5</f>
        <v>0</v>
      </c>
      <c r="H5" s="27">
        <f>IFERROR(_xlfn.NUMBERVALUE(SUBSTITUTE(VLOOKUP(TEXT(A5,"#"),'EXCEL SMX'!B:Q,16,0),",","."))/100,"0")*G5</f>
        <v>0</v>
      </c>
      <c r="I5" s="38">
        <f t="shared" si="1"/>
        <v>0</v>
      </c>
      <c r="J5" s="32"/>
    </row>
    <row r="6" spans="1:10">
      <c r="A6" s="27" t="s">
        <v>306</v>
      </c>
      <c r="B6" s="27" t="s">
        <v>319</v>
      </c>
      <c r="C6" s="27" t="s">
        <v>99</v>
      </c>
      <c r="D6" s="41">
        <f>_xlfn.NUMBERVALUE(IFERROR(VLOOKUP(TEXT(A6,"#"),'EXCEL SMX'!B:I,8,0),0))</f>
        <v>0</v>
      </c>
      <c r="E6" s="41">
        <f>_xlfn.NUMBERVALUE(VLOOKUP(A6,'FINAL BODEGA'!A:D,4,0))</f>
        <v>0</v>
      </c>
      <c r="F6" s="41">
        <f t="shared" si="0"/>
        <v>0</v>
      </c>
      <c r="G6" s="27">
        <f>IFERROR(_xlfn.NUMBERVALUE(SUBSTITUTE(VLOOKUP(TEXT(A6,"#"),'EXCEL SMX'!B:Q,9,0),",",".")),"0")*F6</f>
        <v>0</v>
      </c>
      <c r="H6" s="27">
        <f>IFERROR(_xlfn.NUMBERVALUE(SUBSTITUTE(VLOOKUP(TEXT(A6,"#"),'EXCEL SMX'!B:Q,16,0),",","."))/100,"0")*G6</f>
        <v>0</v>
      </c>
      <c r="I6" s="38">
        <f t="shared" si="1"/>
        <v>0</v>
      </c>
      <c r="J6" s="32"/>
    </row>
    <row r="7" spans="1:10">
      <c r="A7" s="27" t="s">
        <v>286</v>
      </c>
      <c r="B7" s="27" t="s">
        <v>319</v>
      </c>
      <c r="C7" s="27" t="s">
        <v>103</v>
      </c>
      <c r="D7" s="41">
        <f>_xlfn.NUMBERVALUE(IFERROR(VLOOKUP(TEXT(A7,"#"),'EXCEL SMX'!B:I,8,0),0))</f>
        <v>0</v>
      </c>
      <c r="E7" s="41">
        <f>_xlfn.NUMBERVALUE(VLOOKUP(A7,'FINAL BODEGA'!A:D,4,0))</f>
        <v>0</v>
      </c>
      <c r="F7" s="41">
        <f t="shared" si="0"/>
        <v>0</v>
      </c>
      <c r="G7" s="27">
        <f>IFERROR(_xlfn.NUMBERVALUE(SUBSTITUTE(VLOOKUP(TEXT(A7,"#"),'EXCEL SMX'!B:Q,9,0),",",".")),"0")*F7</f>
        <v>0</v>
      </c>
      <c r="H7" s="27">
        <f>IFERROR(_xlfn.NUMBERVALUE(SUBSTITUTE(VLOOKUP(TEXT(A7,"#"),'EXCEL SMX'!B:Q,16,0),",","."))/100,"0")*G7</f>
        <v>0</v>
      </c>
      <c r="I7" s="38">
        <f t="shared" si="1"/>
        <v>0</v>
      </c>
      <c r="J7" s="32"/>
    </row>
    <row r="8" spans="1:10">
      <c r="A8" s="27" t="s">
        <v>308</v>
      </c>
      <c r="B8" s="27" t="s">
        <v>319</v>
      </c>
      <c r="C8" s="27" t="s">
        <v>104</v>
      </c>
      <c r="D8" s="41">
        <f>_xlfn.NUMBERVALUE(IFERROR(VLOOKUP(TEXT(A8,"#"),'EXCEL SMX'!B:I,8,0),0))</f>
        <v>0</v>
      </c>
      <c r="E8" s="41">
        <f>_xlfn.NUMBERVALUE(VLOOKUP(A8,'FINAL BODEGA'!A:D,4,0))</f>
        <v>0</v>
      </c>
      <c r="F8" s="41">
        <f t="shared" si="0"/>
        <v>0</v>
      </c>
      <c r="G8" s="27">
        <f>IFERROR(_xlfn.NUMBERVALUE(SUBSTITUTE(VLOOKUP(TEXT(A8,"#"),'EXCEL SMX'!B:Q,9,0),",",".")),"0")*F8</f>
        <v>0</v>
      </c>
      <c r="H8" s="27">
        <f>IFERROR(_xlfn.NUMBERVALUE(SUBSTITUTE(VLOOKUP(TEXT(A8,"#"),'EXCEL SMX'!B:Q,16,0),",","."))/100,"0")*G8</f>
        <v>0</v>
      </c>
      <c r="I8" s="38">
        <f t="shared" si="1"/>
        <v>0</v>
      </c>
      <c r="J8" s="32"/>
    </row>
    <row r="9" spans="1:10">
      <c r="A9" s="27" t="s">
        <v>240</v>
      </c>
      <c r="B9" s="27" t="s">
        <v>320</v>
      </c>
      <c r="C9" s="27" t="s">
        <v>97</v>
      </c>
      <c r="D9" s="41">
        <f>_xlfn.NUMBERVALUE(IFERROR(VLOOKUP(TEXT(A9,"#"),'EXCEL SMX'!B:I,8,0),0))</f>
        <v>0</v>
      </c>
      <c r="E9" s="41">
        <f>_xlfn.NUMBERVALUE(VLOOKUP(A9,'FINAL BODEGA'!A:D,4,0))</f>
        <v>0</v>
      </c>
      <c r="F9" s="41">
        <f t="shared" si="0"/>
        <v>0</v>
      </c>
      <c r="G9" s="27">
        <f>IFERROR(_xlfn.NUMBERVALUE(SUBSTITUTE(VLOOKUP(TEXT(A9,"#"),'EXCEL SMX'!B:Q,9,0),",",".")),"0")*F9</f>
        <v>0</v>
      </c>
      <c r="H9" s="27">
        <f>IFERROR(_xlfn.NUMBERVALUE(SUBSTITUTE(VLOOKUP(TEXT(A9,"#"),'EXCEL SMX'!B:Q,16,0),",","."))/100,"0")*G9</f>
        <v>0</v>
      </c>
      <c r="I9" s="38">
        <f t="shared" si="1"/>
        <v>0</v>
      </c>
      <c r="J9" s="32"/>
    </row>
    <row r="10" spans="1:10">
      <c r="A10" s="27" t="s">
        <v>289</v>
      </c>
      <c r="B10" s="27" t="s">
        <v>320</v>
      </c>
      <c r="C10" s="27" t="s">
        <v>98</v>
      </c>
      <c r="D10" s="41">
        <f>_xlfn.NUMBERVALUE(IFERROR(VLOOKUP(TEXT(A10,"#"),'EXCEL SMX'!B:I,8,0),0))</f>
        <v>0</v>
      </c>
      <c r="E10" s="41">
        <f>_xlfn.NUMBERVALUE(VLOOKUP(A10,'FINAL BODEGA'!A:D,4,0))</f>
        <v>0</v>
      </c>
      <c r="F10" s="41">
        <f t="shared" si="0"/>
        <v>0</v>
      </c>
      <c r="G10" s="27">
        <f>IFERROR(_xlfn.NUMBERVALUE(SUBSTITUTE(VLOOKUP(TEXT(A10,"#"),'EXCEL SMX'!B:Q,9,0),",",".")),"0")*F10</f>
        <v>0</v>
      </c>
      <c r="H10" s="27">
        <f>IFERROR(_xlfn.NUMBERVALUE(SUBSTITUTE(VLOOKUP(TEXT(A10,"#"),'EXCEL SMX'!B:Q,16,0),",","."))/100,"0")*G10</f>
        <v>0</v>
      </c>
      <c r="I10" s="38">
        <f t="shared" si="1"/>
        <v>0</v>
      </c>
      <c r="J10" s="32"/>
    </row>
    <row r="11" spans="1:10">
      <c r="A11" s="27" t="s">
        <v>238</v>
      </c>
      <c r="B11" s="27" t="s">
        <v>320</v>
      </c>
      <c r="C11" s="27" t="s">
        <v>100</v>
      </c>
      <c r="D11" s="41">
        <f>_xlfn.NUMBERVALUE(IFERROR(VLOOKUP(TEXT(A11,"#"),'EXCEL SMX'!B:I,8,0),0))</f>
        <v>24</v>
      </c>
      <c r="E11" s="41">
        <f>_xlfn.NUMBERVALUE(VLOOKUP(A11,'FINAL BODEGA'!A:D,4,0))</f>
        <v>5</v>
      </c>
      <c r="F11" s="41">
        <f t="shared" si="0"/>
        <v>120</v>
      </c>
      <c r="G11" s="27">
        <f>IFERROR(_xlfn.NUMBERVALUE(SUBSTITUTE(VLOOKUP(TEXT(A11,"#"),'EXCEL SMX'!B:Q,9,0),",",".")),"0")*F11</f>
        <v>334.8</v>
      </c>
      <c r="H11" s="27">
        <f>IFERROR(_xlfn.NUMBERVALUE(SUBSTITUTE(VLOOKUP(TEXT(A11,"#"),'EXCEL SMX'!B:Q,16,0),",","."))/100,"0")*G11</f>
        <v>0</v>
      </c>
      <c r="I11" s="38">
        <f t="shared" si="1"/>
        <v>334.8</v>
      </c>
      <c r="J11" s="32"/>
    </row>
    <row r="12" spans="1:10">
      <c r="A12" s="27" t="s">
        <v>239</v>
      </c>
      <c r="B12" s="27" t="s">
        <v>320</v>
      </c>
      <c r="C12" s="27" t="s">
        <v>101</v>
      </c>
      <c r="D12" s="41">
        <f>_xlfn.NUMBERVALUE(IFERROR(VLOOKUP(TEXT(A12,"#"),'EXCEL SMX'!B:I,8,0),0))</f>
        <v>12</v>
      </c>
      <c r="E12" s="41">
        <f>_xlfn.NUMBERVALUE(VLOOKUP(A12,'FINAL BODEGA'!A:D,4,0))</f>
        <v>12</v>
      </c>
      <c r="F12" s="41">
        <f t="shared" si="0"/>
        <v>144</v>
      </c>
      <c r="G12" s="27">
        <f>IFERROR(_xlfn.NUMBERVALUE(SUBSTITUTE(VLOOKUP(TEXT(A12,"#"),'EXCEL SMX'!B:Q,9,0),",",".")),"0")*F12</f>
        <v>777.6</v>
      </c>
      <c r="H12" s="27">
        <f>IFERROR(_xlfn.NUMBERVALUE(SUBSTITUTE(VLOOKUP(TEXT(A12,"#"),'EXCEL SMX'!B:Q,16,0),",","."))/100,"0")*G12</f>
        <v>155.52000000000001</v>
      </c>
      <c r="I12" s="38">
        <f t="shared" si="1"/>
        <v>622.08000000000004</v>
      </c>
      <c r="J12" s="32"/>
    </row>
    <row r="13" spans="1:10">
      <c r="A13" s="27" t="s">
        <v>290</v>
      </c>
      <c r="B13" s="27" t="s">
        <v>320</v>
      </c>
      <c r="C13" s="27" t="s">
        <v>102</v>
      </c>
      <c r="D13" s="41">
        <f>_xlfn.NUMBERVALUE(IFERROR(VLOOKUP(TEXT(A13,"#"),'EXCEL SMX'!B:I,8,0),0))</f>
        <v>0</v>
      </c>
      <c r="E13" s="41">
        <f>_xlfn.NUMBERVALUE(VLOOKUP(A13,'FINAL BODEGA'!A:D,4,0))</f>
        <v>0</v>
      </c>
      <c r="F13" s="41">
        <f t="shared" si="0"/>
        <v>0</v>
      </c>
      <c r="G13" s="27">
        <f>IFERROR(_xlfn.NUMBERVALUE(SUBSTITUTE(VLOOKUP(TEXT(A13,"#"),'EXCEL SMX'!B:Q,9,0),",",".")),"0")*F13</f>
        <v>0</v>
      </c>
      <c r="H13" s="27">
        <f>IFERROR(_xlfn.NUMBERVALUE(SUBSTITUTE(VLOOKUP(TEXT(A13,"#"),'EXCEL SMX'!B:Q,16,0),",","."))/100,"0")*G13</f>
        <v>0</v>
      </c>
      <c r="I13" s="38">
        <f t="shared" si="1"/>
        <v>0</v>
      </c>
      <c r="J13" s="32"/>
    </row>
    <row r="14" spans="1:10">
      <c r="A14" s="27" t="s">
        <v>307</v>
      </c>
      <c r="B14" s="27" t="s">
        <v>320</v>
      </c>
      <c r="C14" s="27" t="s">
        <v>105</v>
      </c>
      <c r="D14" s="41">
        <f>_xlfn.NUMBERVALUE(IFERROR(VLOOKUP(TEXT(A14,"#"),'EXCEL SMX'!B:I,8,0),0))</f>
        <v>0</v>
      </c>
      <c r="E14" s="41">
        <f>_xlfn.NUMBERVALUE(VLOOKUP(A14,'FINAL BODEGA'!A:D,4,0))</f>
        <v>0</v>
      </c>
      <c r="F14" s="41">
        <f t="shared" si="0"/>
        <v>0</v>
      </c>
      <c r="G14" s="27">
        <f>IFERROR(_xlfn.NUMBERVALUE(SUBSTITUTE(VLOOKUP(TEXT(A14,"#"),'EXCEL SMX'!B:Q,9,0),",",".")),"0")*F14</f>
        <v>0</v>
      </c>
      <c r="H14" s="27">
        <f>IFERROR(_xlfn.NUMBERVALUE(SUBSTITUTE(VLOOKUP(TEXT(A14,"#"),'EXCEL SMX'!B:Q,16,0),",","."))/100,"0")*G14</f>
        <v>0</v>
      </c>
      <c r="I14" s="38">
        <f t="shared" si="1"/>
        <v>0</v>
      </c>
      <c r="J14" s="32"/>
    </row>
    <row r="15" spans="1:10">
      <c r="A15" s="27" t="s">
        <v>282</v>
      </c>
      <c r="B15" s="27" t="s">
        <v>321</v>
      </c>
      <c r="C15" s="27" t="s">
        <v>106</v>
      </c>
      <c r="D15" s="41">
        <f>_xlfn.NUMBERVALUE(IFERROR(VLOOKUP(TEXT(A15,"#"),'EXCEL SMX'!B:I,8,0),0))</f>
        <v>0</v>
      </c>
      <c r="E15" s="41">
        <f>_xlfn.NUMBERVALUE(VLOOKUP(A15,'FINAL BODEGA'!A:D,4,0))</f>
        <v>0</v>
      </c>
      <c r="F15" s="41">
        <f t="shared" si="0"/>
        <v>0</v>
      </c>
      <c r="G15" s="27">
        <f>IFERROR(_xlfn.NUMBERVALUE(SUBSTITUTE(VLOOKUP(TEXT(A15,"#"),'EXCEL SMX'!B:Q,9,0),",",".")),"0")*F15</f>
        <v>0</v>
      </c>
      <c r="H15" s="27">
        <f>IFERROR(_xlfn.NUMBERVALUE(SUBSTITUTE(VLOOKUP(TEXT(A15,"#"),'EXCEL SMX'!B:Q,16,0),",","."))/100,"0")*G15</f>
        <v>0</v>
      </c>
      <c r="I15" s="38">
        <f t="shared" si="1"/>
        <v>0</v>
      </c>
      <c r="J15" s="32" t="s">
        <v>316</v>
      </c>
    </row>
    <row r="16" spans="1:10">
      <c r="A16" s="27" t="s">
        <v>283</v>
      </c>
      <c r="B16" s="27" t="s">
        <v>321</v>
      </c>
      <c r="C16" s="27" t="s">
        <v>107</v>
      </c>
      <c r="D16" s="41">
        <f>_xlfn.NUMBERVALUE(IFERROR(VLOOKUP(TEXT(A16,"#"),'EXCEL SMX'!B:I,8,0),0))</f>
        <v>0</v>
      </c>
      <c r="E16" s="41">
        <f>_xlfn.NUMBERVALUE(VLOOKUP(A16,'FINAL BODEGA'!A:D,4,0))</f>
        <v>0</v>
      </c>
      <c r="F16" s="41">
        <f t="shared" si="0"/>
        <v>0</v>
      </c>
      <c r="G16" s="27">
        <f>IFERROR(_xlfn.NUMBERVALUE(SUBSTITUTE(VLOOKUP(TEXT(A16,"#"),'EXCEL SMX'!B:Q,9,0),",",".")),"0")*F16</f>
        <v>0</v>
      </c>
      <c r="H16" s="27">
        <f>IFERROR(_xlfn.NUMBERVALUE(SUBSTITUTE(VLOOKUP(TEXT(A16,"#"),'EXCEL SMX'!B:Q,16,0),",","."))/100,"0")*G16</f>
        <v>0</v>
      </c>
      <c r="I16" s="38">
        <f t="shared" si="1"/>
        <v>0</v>
      </c>
      <c r="J16" s="32" t="s">
        <v>316</v>
      </c>
    </row>
    <row r="17" spans="1:10">
      <c r="A17" s="27" t="s">
        <v>284</v>
      </c>
      <c r="B17" s="27" t="s">
        <v>321</v>
      </c>
      <c r="C17" s="27" t="s">
        <v>108</v>
      </c>
      <c r="D17" s="41">
        <f>_xlfn.NUMBERVALUE(IFERROR(VLOOKUP(TEXT(A17,"#"),'EXCEL SMX'!B:I,8,0),0))</f>
        <v>0</v>
      </c>
      <c r="E17" s="41">
        <f>_xlfn.NUMBERVALUE(VLOOKUP(A17,'FINAL BODEGA'!A:D,4,0))</f>
        <v>0</v>
      </c>
      <c r="F17" s="41">
        <f t="shared" si="0"/>
        <v>0</v>
      </c>
      <c r="G17" s="27">
        <f>IFERROR(_xlfn.NUMBERVALUE(SUBSTITUTE(VLOOKUP(TEXT(A17,"#"),'EXCEL SMX'!B:Q,9,0),",",".")),"0")*F17</f>
        <v>0</v>
      </c>
      <c r="H17" s="27">
        <f>IFERROR(_xlfn.NUMBERVALUE(SUBSTITUTE(VLOOKUP(TEXT(A17,"#"),'EXCEL SMX'!B:Q,16,0),",","."))/100,"0")*G17</f>
        <v>0</v>
      </c>
      <c r="I17" s="38">
        <f t="shared" si="1"/>
        <v>0</v>
      </c>
      <c r="J17" s="32" t="s">
        <v>316</v>
      </c>
    </row>
    <row r="18" spans="1:10" s="1" customFormat="1">
      <c r="A18" s="27">
        <v>7861033003078</v>
      </c>
      <c r="B18" s="27" t="s">
        <v>321</v>
      </c>
      <c r="C18" s="27" t="s">
        <v>400</v>
      </c>
      <c r="D18" s="47">
        <f>_xlfn.NUMBERVALUE(IFERROR(VLOOKUP(TEXT(A18,"#"),'EXCEL SMX'!B:I,8,0),0))</f>
        <v>12</v>
      </c>
      <c r="E18" s="48">
        <f>_xlfn.NUMBERVALUE(VLOOKUP(A18,'FINAL BODEGA'!A:D,4,0))</f>
        <v>8</v>
      </c>
      <c r="F18" s="49">
        <f t="shared" ref="F18:F20" si="2">D18*E18</f>
        <v>96</v>
      </c>
      <c r="G18" s="27">
        <f>IFERROR(_xlfn.NUMBERVALUE(SUBSTITUTE(VLOOKUP(TEXT(A18,"#"),'EXCEL SMX'!B:Q,9,0),",",".")),"0")*F18</f>
        <v>76.800000000000011</v>
      </c>
      <c r="H18" s="27">
        <f>IFERROR(_xlfn.NUMBERVALUE(SUBSTITUTE(VLOOKUP(TEXT(A18,"#"),'EXCEL SMX'!B:Q,16,0),",","."))/100,"0")*G18</f>
        <v>0</v>
      </c>
      <c r="I18" s="38">
        <f t="shared" ref="I18:I20" si="3">G18-H18</f>
        <v>76.800000000000011</v>
      </c>
      <c r="J18" s="32" t="s">
        <v>316</v>
      </c>
    </row>
    <row r="19" spans="1:10" s="1" customFormat="1">
      <c r="A19" s="27">
        <v>7861033003085</v>
      </c>
      <c r="B19" s="27" t="s">
        <v>321</v>
      </c>
      <c r="C19" s="27" t="s">
        <v>401</v>
      </c>
      <c r="D19" s="47">
        <f>_xlfn.NUMBERVALUE(IFERROR(VLOOKUP(TEXT(A19,"#"),'EXCEL SMX'!B:I,8,0),0))</f>
        <v>12</v>
      </c>
      <c r="E19" s="48">
        <f>_xlfn.NUMBERVALUE(VLOOKUP(A19,'FINAL BODEGA'!A:D,4,0))</f>
        <v>4</v>
      </c>
      <c r="F19" s="49">
        <f t="shared" si="2"/>
        <v>48</v>
      </c>
      <c r="G19" s="27">
        <f>IFERROR(_xlfn.NUMBERVALUE(SUBSTITUTE(VLOOKUP(TEXT(A19,"#"),'EXCEL SMX'!B:Q,9,0),",",".")),"0")*F19</f>
        <v>69.599999999999994</v>
      </c>
      <c r="H19" s="27">
        <f>IFERROR(_xlfn.NUMBERVALUE(SUBSTITUTE(VLOOKUP(TEXT(A19,"#"),'EXCEL SMX'!B:Q,16,0),",","."))/100,"0")*G19</f>
        <v>13.92</v>
      </c>
      <c r="I19" s="38">
        <f t="shared" si="3"/>
        <v>55.679999999999993</v>
      </c>
      <c r="J19" s="32" t="s">
        <v>316</v>
      </c>
    </row>
    <row r="20" spans="1:10" s="1" customFormat="1">
      <c r="A20" s="27">
        <v>7861033003092</v>
      </c>
      <c r="B20" s="27" t="s">
        <v>321</v>
      </c>
      <c r="C20" s="27" t="s">
        <v>399</v>
      </c>
      <c r="D20" s="47">
        <f>_xlfn.NUMBERVALUE(IFERROR(VLOOKUP(TEXT(A20,"#"),'EXCEL SMX'!B:I,8,0),0))</f>
        <v>12</v>
      </c>
      <c r="E20" s="48">
        <f>_xlfn.NUMBERVALUE(VLOOKUP(A20,'FINAL BODEGA'!A:D,4,0))</f>
        <v>6</v>
      </c>
      <c r="F20" s="49">
        <f t="shared" si="2"/>
        <v>72</v>
      </c>
      <c r="G20" s="27">
        <f>IFERROR(_xlfn.NUMBERVALUE(SUBSTITUTE(VLOOKUP(TEXT(A20,"#"),'EXCEL SMX'!B:Q,9,0),",",".")),"0")*F20</f>
        <v>172.79999999999998</v>
      </c>
      <c r="H20" s="27">
        <f>IFERROR(_xlfn.NUMBERVALUE(SUBSTITUTE(VLOOKUP(TEXT(A20,"#"),'EXCEL SMX'!B:Q,16,0),",","."))/100,"0")*G20</f>
        <v>34.559999999999995</v>
      </c>
      <c r="I20" s="38">
        <f t="shared" si="3"/>
        <v>138.23999999999998</v>
      </c>
      <c r="J20" s="32" t="s">
        <v>316</v>
      </c>
    </row>
    <row r="21" spans="1:10">
      <c r="A21" s="27" t="s">
        <v>285</v>
      </c>
      <c r="B21" s="27" t="s">
        <v>321</v>
      </c>
      <c r="C21" s="27" t="s">
        <v>109</v>
      </c>
      <c r="D21" s="41">
        <f>_xlfn.NUMBERVALUE(IFERROR(VLOOKUP(TEXT(A21,"#"),'EXCEL SMX'!B:I,8,0),0))</f>
        <v>0</v>
      </c>
      <c r="E21" s="41">
        <f>_xlfn.NUMBERVALUE(VLOOKUP(A21,'FINAL BODEGA'!A:D,4,0))</f>
        <v>0</v>
      </c>
      <c r="F21" s="41">
        <f t="shared" si="0"/>
        <v>0</v>
      </c>
      <c r="G21" s="27">
        <f>IFERROR(_xlfn.NUMBERVALUE(SUBSTITUTE(VLOOKUP(TEXT(A21,"#"),'EXCEL SMX'!B:Q,9,0),",",".")),"0")*F21</f>
        <v>0</v>
      </c>
      <c r="H21" s="27">
        <f>IFERROR(_xlfn.NUMBERVALUE(SUBSTITUTE(VLOOKUP(TEXT(A21,"#"),'EXCEL SMX'!B:Q,16,0),",","."))/100,"0")*G21</f>
        <v>0</v>
      </c>
      <c r="I21" s="38">
        <f t="shared" si="1"/>
        <v>0</v>
      </c>
      <c r="J21" s="32" t="s">
        <v>316</v>
      </c>
    </row>
    <row r="22" spans="1:10" s="1" customFormat="1">
      <c r="A22" s="28">
        <v>7861033002507</v>
      </c>
      <c r="B22" s="27" t="s">
        <v>322</v>
      </c>
      <c r="C22" s="27" t="s">
        <v>385</v>
      </c>
      <c r="D22" s="47">
        <f>_xlfn.NUMBERVALUE(IFERROR(VLOOKUP(TEXT(A22,"#"),'EXCEL SMX'!B:I,8,0),0))</f>
        <v>12</v>
      </c>
      <c r="E22" s="48">
        <f>_xlfn.NUMBERVALUE(VLOOKUP(A22,'FINAL BODEGA'!A:D,4,0))</f>
        <v>5</v>
      </c>
      <c r="F22" s="49">
        <f>D22*E22</f>
        <v>60</v>
      </c>
      <c r="G22" s="27">
        <f>IFERROR(_xlfn.NUMBERVALUE(SUBSTITUTE(VLOOKUP(TEXT(A22,"#"),'EXCEL SMX'!B:Q,9,0),",",".")),"0")*F22</f>
        <v>192.6</v>
      </c>
      <c r="H22" s="27">
        <f>IFERROR(_xlfn.NUMBERVALUE(SUBSTITUTE(VLOOKUP(TEXT(A22,"#"),'EXCEL SMX'!B:Q,16,0),",","."))/100,"0")*G22</f>
        <v>0</v>
      </c>
      <c r="I22" s="38">
        <f>G22-H22</f>
        <v>192.6</v>
      </c>
      <c r="J22" s="50"/>
    </row>
    <row r="23" spans="1:10">
      <c r="A23" s="27" t="s">
        <v>251</v>
      </c>
      <c r="B23" s="27" t="s">
        <v>322</v>
      </c>
      <c r="C23" s="27" t="s">
        <v>113</v>
      </c>
      <c r="D23" s="41">
        <f>_xlfn.NUMBERVALUE(IFERROR(VLOOKUP(TEXT(A23,"#"),'EXCEL SMX'!B:I,8,0),0))</f>
        <v>8</v>
      </c>
      <c r="E23" s="41">
        <f>_xlfn.NUMBERVALUE(VLOOKUP(A23,'FINAL BODEGA'!A:D,4,0))</f>
        <v>11</v>
      </c>
      <c r="F23" s="41">
        <f t="shared" si="0"/>
        <v>88</v>
      </c>
      <c r="G23" s="27">
        <f>IFERROR(_xlfn.NUMBERVALUE(SUBSTITUTE(VLOOKUP(TEXT(A23,"#"),'EXCEL SMX'!B:Q,9,0),",",".")),"0")*F23</f>
        <v>440.88</v>
      </c>
      <c r="H23" s="27">
        <f>IFERROR(_xlfn.NUMBERVALUE(SUBSTITUTE(VLOOKUP(TEXT(A23,"#"),'EXCEL SMX'!B:Q,16,0),",","."))/100,"0")*G23</f>
        <v>0</v>
      </c>
      <c r="I23" s="38">
        <f t="shared" si="1"/>
        <v>440.88</v>
      </c>
      <c r="J23" s="32"/>
    </row>
    <row r="24" spans="1:10">
      <c r="A24" s="27" t="s">
        <v>153</v>
      </c>
      <c r="B24" s="27" t="s">
        <v>322</v>
      </c>
      <c r="C24" s="27" t="s">
        <v>341</v>
      </c>
      <c r="D24" s="41">
        <f>_xlfn.NUMBERVALUE(IFERROR(VLOOKUP(TEXT(A24,"#"),'EXCEL SMX'!B:I,8,0),0))</f>
        <v>0</v>
      </c>
      <c r="E24" s="41">
        <f>_xlfn.NUMBERVALUE(VLOOKUP(A24,'FINAL BODEGA'!A:D,4,0))</f>
        <v>0</v>
      </c>
      <c r="F24" s="41">
        <f t="shared" si="0"/>
        <v>0</v>
      </c>
      <c r="G24" s="27">
        <f>IFERROR(_xlfn.NUMBERVALUE(SUBSTITUTE(VLOOKUP(TEXT(A24,"#"),'EXCEL SMX'!B:Q,9,0),",",".")),"0")*F24</f>
        <v>0</v>
      </c>
      <c r="H24" s="27">
        <f>IFERROR(_xlfn.NUMBERVALUE(SUBSTITUTE(VLOOKUP(TEXT(A24,"#"),'EXCEL SMX'!B:Q,16,0),",","."))/100,"0")*G24</f>
        <v>0</v>
      </c>
      <c r="I24" s="38">
        <f t="shared" si="1"/>
        <v>0</v>
      </c>
      <c r="J24" s="32"/>
    </row>
    <row r="25" spans="1:10">
      <c r="A25" s="27" t="s">
        <v>252</v>
      </c>
      <c r="B25" s="27" t="s">
        <v>323</v>
      </c>
      <c r="C25" s="27" t="s">
        <v>114</v>
      </c>
      <c r="D25" s="41">
        <f>_xlfn.NUMBERVALUE(IFERROR(VLOOKUP(TEXT(A25,"#"),'EXCEL SMX'!B:I,8,0),0))</f>
        <v>18</v>
      </c>
      <c r="E25" s="41">
        <f>_xlfn.NUMBERVALUE(VLOOKUP(A25,'FINAL BODEGA'!A:D,4,0))</f>
        <v>6</v>
      </c>
      <c r="F25" s="41">
        <f t="shared" si="0"/>
        <v>108</v>
      </c>
      <c r="G25" s="27">
        <f>IFERROR(_xlfn.NUMBERVALUE(SUBSTITUTE(VLOOKUP(TEXT(A25,"#"),'EXCEL SMX'!B:Q,9,0),",",".")),"0")*F25</f>
        <v>402.84</v>
      </c>
      <c r="H25" s="27">
        <f>IFERROR(_xlfn.NUMBERVALUE(SUBSTITUTE(VLOOKUP(TEXT(A25,"#"),'EXCEL SMX'!B:Q,16,0),",","."))/100,"0")*G25</f>
        <v>0</v>
      </c>
      <c r="I25" s="38">
        <f t="shared" si="1"/>
        <v>402.84</v>
      </c>
      <c r="J25" s="32"/>
    </row>
    <row r="26" spans="1:10">
      <c r="A26" s="27" t="s">
        <v>253</v>
      </c>
      <c r="B26" s="27" t="s">
        <v>323</v>
      </c>
      <c r="C26" s="27" t="s">
        <v>115</v>
      </c>
      <c r="D26" s="41">
        <f>_xlfn.NUMBERVALUE(IFERROR(VLOOKUP(TEXT(A26,"#"),'EXCEL SMX'!B:I,8,0),0))</f>
        <v>18</v>
      </c>
      <c r="E26" s="41">
        <f>_xlfn.NUMBERVALUE(VLOOKUP(A26,'FINAL BODEGA'!A:D,4,0))</f>
        <v>18</v>
      </c>
      <c r="F26" s="41">
        <f t="shared" si="0"/>
        <v>324</v>
      </c>
      <c r="G26" s="27">
        <f>IFERROR(_xlfn.NUMBERVALUE(SUBSTITUTE(VLOOKUP(TEXT(A26,"#"),'EXCEL SMX'!B:Q,9,0),",",".")),"0")*F26</f>
        <v>1752.8400000000001</v>
      </c>
      <c r="H26" s="27">
        <f>IFERROR(_xlfn.NUMBERVALUE(SUBSTITUTE(VLOOKUP(TEXT(A26,"#"),'EXCEL SMX'!B:Q,16,0),",","."))/100,"0")*G26</f>
        <v>350.56800000000004</v>
      </c>
      <c r="I26" s="38">
        <f t="shared" si="1"/>
        <v>1402.2720000000002</v>
      </c>
      <c r="J26" s="32"/>
    </row>
    <row r="27" spans="1:10">
      <c r="A27" s="27" t="s">
        <v>254</v>
      </c>
      <c r="B27" s="27" t="s">
        <v>324</v>
      </c>
      <c r="C27" s="27" t="s">
        <v>116</v>
      </c>
      <c r="D27" s="41">
        <f>_xlfn.NUMBERVALUE(IFERROR(VLOOKUP(TEXT(A27,"#"),'EXCEL SMX'!B:I,8,0),0))</f>
        <v>12</v>
      </c>
      <c r="E27" s="41">
        <f>_xlfn.NUMBERVALUE(VLOOKUP(A27,'FINAL BODEGA'!A:D,4,0))</f>
        <v>10</v>
      </c>
      <c r="F27" s="41">
        <f t="shared" si="0"/>
        <v>120</v>
      </c>
      <c r="G27" s="27">
        <f>IFERROR(_xlfn.NUMBERVALUE(SUBSTITUTE(VLOOKUP(TEXT(A27,"#"),'EXCEL SMX'!B:Q,9,0),",",".")),"0")*F27</f>
        <v>458.4</v>
      </c>
      <c r="H27" s="27">
        <f>IFERROR(_xlfn.NUMBERVALUE(SUBSTITUTE(VLOOKUP(TEXT(A27,"#"),'EXCEL SMX'!B:Q,16,0),",","."))/100,"0")*G27</f>
        <v>0</v>
      </c>
      <c r="I27" s="38">
        <f t="shared" si="1"/>
        <v>458.4</v>
      </c>
      <c r="J27" s="32"/>
    </row>
    <row r="28" spans="1:10">
      <c r="A28" s="27" t="s">
        <v>249</v>
      </c>
      <c r="B28" s="27" t="s">
        <v>325</v>
      </c>
      <c r="C28" s="27" t="s">
        <v>110</v>
      </c>
      <c r="D28" s="41">
        <f>_xlfn.NUMBERVALUE(IFERROR(VLOOKUP(TEXT(A28,"#"),'EXCEL SMX'!B:I,8,0),0))</f>
        <v>24</v>
      </c>
      <c r="E28" s="41">
        <f>_xlfn.NUMBERVALUE(VLOOKUP(A28,'FINAL BODEGA'!A:D,4,0))</f>
        <v>3</v>
      </c>
      <c r="F28" s="41">
        <f t="shared" si="0"/>
        <v>72</v>
      </c>
      <c r="G28" s="27">
        <f>IFERROR(_xlfn.NUMBERVALUE(SUBSTITUTE(VLOOKUP(TEXT(A28,"#"),'EXCEL SMX'!B:Q,9,0),",",".")),"0")*F28</f>
        <v>219.6</v>
      </c>
      <c r="H28" s="27">
        <f>IFERROR(_xlfn.NUMBERVALUE(SUBSTITUTE(VLOOKUP(TEXT(A28,"#"),'EXCEL SMX'!B:Q,16,0),",","."))/100,"0")*G28</f>
        <v>0</v>
      </c>
      <c r="I28" s="38">
        <f t="shared" si="1"/>
        <v>219.6</v>
      </c>
      <c r="J28" s="32"/>
    </row>
    <row r="29" spans="1:10">
      <c r="A29" s="27" t="s">
        <v>248</v>
      </c>
      <c r="B29" s="27" t="s">
        <v>325</v>
      </c>
      <c r="C29" s="27" t="s">
        <v>111</v>
      </c>
      <c r="D29" s="41">
        <f>_xlfn.NUMBERVALUE(IFERROR(VLOOKUP(TEXT(A29,"#"),'EXCEL SMX'!B:I,8,0),0))</f>
        <v>18</v>
      </c>
      <c r="E29" s="41">
        <f>_xlfn.NUMBERVALUE(VLOOKUP(A29,'FINAL BODEGA'!A:D,4,0))</f>
        <v>32</v>
      </c>
      <c r="F29" s="41">
        <f t="shared" si="0"/>
        <v>576</v>
      </c>
      <c r="G29" s="27">
        <f>IFERROR(_xlfn.NUMBERVALUE(SUBSTITUTE(VLOOKUP(TEXT(A29,"#"),'EXCEL SMX'!B:Q,9,0),",",".")),"0")*F29</f>
        <v>2972.16</v>
      </c>
      <c r="H29" s="27">
        <f>IFERROR(_xlfn.NUMBERVALUE(SUBSTITUTE(VLOOKUP(TEXT(A29,"#"),'EXCEL SMX'!B:Q,16,0),",","."))/100,"0")*G29</f>
        <v>594.43200000000002</v>
      </c>
      <c r="I29" s="38">
        <f t="shared" si="1"/>
        <v>2377.7280000000001</v>
      </c>
      <c r="J29" s="32"/>
    </row>
    <row r="30" spans="1:10">
      <c r="A30" s="27" t="s">
        <v>259</v>
      </c>
      <c r="B30" s="27" t="s">
        <v>325</v>
      </c>
      <c r="C30" s="27" t="s">
        <v>118</v>
      </c>
      <c r="D30" s="41">
        <f>_xlfn.NUMBERVALUE(IFERROR(VLOOKUP(TEXT(A30,"#"),'EXCEL SMX'!B:I,8,0),0))</f>
        <v>0</v>
      </c>
      <c r="E30" s="41">
        <f>_xlfn.NUMBERVALUE(VLOOKUP(A30,'FINAL BODEGA'!A:D,4,0))</f>
        <v>0</v>
      </c>
      <c r="F30" s="41">
        <f t="shared" si="0"/>
        <v>0</v>
      </c>
      <c r="G30" s="27">
        <f>IFERROR(_xlfn.NUMBERVALUE(SUBSTITUTE(VLOOKUP(TEXT(A30,"#"),'EXCEL SMX'!B:Q,9,0),",",".")),"0")*F30</f>
        <v>0</v>
      </c>
      <c r="H30" s="27">
        <f>IFERROR(_xlfn.NUMBERVALUE(SUBSTITUTE(VLOOKUP(TEXT(A30,"#"),'EXCEL SMX'!B:Q,16,0),",","."))/100,"0")*G30</f>
        <v>0</v>
      </c>
      <c r="I30" s="38">
        <f t="shared" si="1"/>
        <v>0</v>
      </c>
      <c r="J30" s="32"/>
    </row>
    <row r="31" spans="1:10">
      <c r="A31" s="27" t="s">
        <v>256</v>
      </c>
      <c r="B31" s="27" t="s">
        <v>326</v>
      </c>
      <c r="C31" s="27" t="s">
        <v>117</v>
      </c>
      <c r="D31" s="41">
        <f>_xlfn.NUMBERVALUE(IFERROR(VLOOKUP(TEXT(A31,"#"),'EXCEL SMX'!B:I,8,0),0))</f>
        <v>18</v>
      </c>
      <c r="E31" s="41">
        <f>_xlfn.NUMBERVALUE(VLOOKUP(A31,'FINAL BODEGA'!A:D,4,0))</f>
        <v>12</v>
      </c>
      <c r="F31" s="41">
        <f t="shared" si="0"/>
        <v>216</v>
      </c>
      <c r="G31" s="27">
        <f>IFERROR(_xlfn.NUMBERVALUE(SUBSTITUTE(VLOOKUP(TEXT(A31,"#"),'EXCEL SMX'!B:Q,9,0),",",".")),"0")*F31</f>
        <v>697.68</v>
      </c>
      <c r="H31" s="27">
        <f>IFERROR(_xlfn.NUMBERVALUE(SUBSTITUTE(VLOOKUP(TEXT(A31,"#"),'EXCEL SMX'!B:Q,16,0),",","."))/100,"0")*G31</f>
        <v>0</v>
      </c>
      <c r="I31" s="38">
        <f t="shared" si="1"/>
        <v>697.68</v>
      </c>
      <c r="J31" s="32"/>
    </row>
    <row r="32" spans="1:10">
      <c r="A32" s="27" t="s">
        <v>258</v>
      </c>
      <c r="B32" s="27" t="s">
        <v>326</v>
      </c>
      <c r="C32" s="27" t="s">
        <v>342</v>
      </c>
      <c r="D32" s="41">
        <f>_xlfn.NUMBERVALUE(IFERROR(VLOOKUP(TEXT(A32,"#"),'EXCEL SMX'!B:I,8,0),0))</f>
        <v>18</v>
      </c>
      <c r="E32" s="41">
        <f>_xlfn.NUMBERVALUE(VLOOKUP(A32,'FINAL BODEGA'!A:D,4,0))</f>
        <v>3</v>
      </c>
      <c r="F32" s="41">
        <f t="shared" si="0"/>
        <v>54</v>
      </c>
      <c r="G32" s="27">
        <f>IFERROR(_xlfn.NUMBERVALUE(SUBSTITUTE(VLOOKUP(TEXT(A32,"#"),'EXCEL SMX'!B:Q,9,0),",",".")),"0")*F32</f>
        <v>292.14</v>
      </c>
      <c r="H32" s="27">
        <f>IFERROR(_xlfn.NUMBERVALUE(SUBSTITUTE(VLOOKUP(TEXT(A32,"#"),'EXCEL SMX'!B:Q,16,0),",","."))/100,"0")*G32</f>
        <v>0</v>
      </c>
      <c r="I32" s="38">
        <f t="shared" si="1"/>
        <v>292.14</v>
      </c>
      <c r="J32" s="32"/>
    </row>
    <row r="33" spans="1:10">
      <c r="A33" s="27" t="s">
        <v>255</v>
      </c>
      <c r="B33" s="27" t="s">
        <v>327</v>
      </c>
      <c r="C33" s="27" t="s">
        <v>112</v>
      </c>
      <c r="D33" s="41">
        <f>_xlfn.NUMBERVALUE(IFERROR(VLOOKUP(TEXT(A33,"#"),'EXCEL SMX'!B:I,8,0),0))</f>
        <v>0</v>
      </c>
      <c r="E33" s="41">
        <f>_xlfn.NUMBERVALUE(VLOOKUP(A33,'FINAL BODEGA'!A:D,4,0))</f>
        <v>0</v>
      </c>
      <c r="F33" s="41">
        <f t="shared" si="0"/>
        <v>0</v>
      </c>
      <c r="G33" s="27">
        <f>IFERROR(_xlfn.NUMBERVALUE(SUBSTITUTE(VLOOKUP(TEXT(A33,"#"),'EXCEL SMX'!B:Q,9,0),",",".")),"0")*F33</f>
        <v>0</v>
      </c>
      <c r="H33" s="27">
        <f>IFERROR(_xlfn.NUMBERVALUE(SUBSTITUTE(VLOOKUP(TEXT(A33,"#"),'EXCEL SMX'!B:Q,16,0),",","."))/100,"0")*G33</f>
        <v>0</v>
      </c>
      <c r="I33" s="38">
        <f t="shared" si="1"/>
        <v>0</v>
      </c>
      <c r="J33" s="32"/>
    </row>
    <row r="34" spans="1:10">
      <c r="A34" s="27" t="s">
        <v>241</v>
      </c>
      <c r="B34" s="27" t="s">
        <v>328</v>
      </c>
      <c r="C34" s="27" t="s">
        <v>120</v>
      </c>
      <c r="D34" s="41">
        <f>_xlfn.NUMBERVALUE(IFERROR(VLOOKUP(TEXT(A34,"#"),'EXCEL SMX'!B:I,8,0),0))</f>
        <v>0</v>
      </c>
      <c r="E34" s="41">
        <f>_xlfn.NUMBERVALUE(VLOOKUP(A34,'FINAL BODEGA'!A:D,4,0))</f>
        <v>0</v>
      </c>
      <c r="F34" s="41">
        <f t="shared" ref="F34:F64" si="4">D34*E34</f>
        <v>0</v>
      </c>
      <c r="G34" s="27">
        <f>IFERROR(_xlfn.NUMBERVALUE(SUBSTITUTE(VLOOKUP(TEXT(A34,"#"),'EXCEL SMX'!B:Q,9,0),",",".")),"0")*F34</f>
        <v>0</v>
      </c>
      <c r="H34" s="27">
        <f>IFERROR(_xlfn.NUMBERVALUE(SUBSTITUTE(VLOOKUP(TEXT(A34,"#"),'EXCEL SMX'!B:Q,16,0),",","."))/100,"0")*G34</f>
        <v>0</v>
      </c>
      <c r="I34" s="38">
        <f t="shared" ref="I34:I64" si="5">G34-H34</f>
        <v>0</v>
      </c>
      <c r="J34" s="32"/>
    </row>
    <row r="35" spans="1:10">
      <c r="A35" s="27" t="s">
        <v>237</v>
      </c>
      <c r="B35" s="27" t="s">
        <v>328</v>
      </c>
      <c r="C35" s="27" t="s">
        <v>96</v>
      </c>
      <c r="D35" s="41">
        <f>_xlfn.NUMBERVALUE(IFERROR(VLOOKUP(TEXT(A35,"#"),'EXCEL SMX'!B:I,8,0),0))</f>
        <v>0</v>
      </c>
      <c r="E35" s="41">
        <f>_xlfn.NUMBERVALUE(VLOOKUP(A35,'FINAL BODEGA'!A:D,4,0))</f>
        <v>0</v>
      </c>
      <c r="F35" s="41">
        <f t="shared" si="4"/>
        <v>0</v>
      </c>
      <c r="G35" s="27">
        <f>IFERROR(_xlfn.NUMBERVALUE(SUBSTITUTE(VLOOKUP(TEXT(A35,"#"),'EXCEL SMX'!B:Q,9,0),",",".")),"0")*F35</f>
        <v>0</v>
      </c>
      <c r="H35" s="27">
        <f>IFERROR(_xlfn.NUMBERVALUE(SUBSTITUTE(VLOOKUP(TEXT(A35,"#"),'EXCEL SMX'!B:Q,16,0),",","."))/100,"0")*G35</f>
        <v>0</v>
      </c>
      <c r="I35" s="38">
        <f t="shared" si="5"/>
        <v>0</v>
      </c>
      <c r="J35" s="32"/>
    </row>
    <row r="36" spans="1:10" s="1" customFormat="1">
      <c r="A36" s="28">
        <v>7861033002163</v>
      </c>
      <c r="B36" s="27" t="s">
        <v>328</v>
      </c>
      <c r="C36" s="27" t="s">
        <v>386</v>
      </c>
      <c r="D36" s="47">
        <f>_xlfn.NUMBERVALUE(IFERROR(VLOOKUP(TEXT(A36,"#"),'EXCEL SMX'!B:I,8,0),0))</f>
        <v>0</v>
      </c>
      <c r="E36" s="48">
        <f>_xlfn.NUMBERVALUE(VLOOKUP(A36,'FINAL BODEGA'!A:D,4,0))</f>
        <v>0</v>
      </c>
      <c r="F36" s="49">
        <f>D36*E36</f>
        <v>0</v>
      </c>
      <c r="G36" s="27">
        <f>IFERROR(_xlfn.NUMBERVALUE(SUBSTITUTE(VLOOKUP(TEXT(A36,"#"),'EXCEL SMX'!B:Q,9,0),",",".")),"0")*F36</f>
        <v>0</v>
      </c>
      <c r="H36" s="27">
        <f>IFERROR(_xlfn.NUMBERVALUE(SUBSTITUTE(VLOOKUP(TEXT(A36,"#"),'EXCEL SMX'!B:Q,16,0),",","."))/100,"0")*G36</f>
        <v>0</v>
      </c>
      <c r="I36" s="38">
        <f>G36-H36</f>
        <v>0</v>
      </c>
      <c r="J36" s="50"/>
    </row>
    <row r="37" spans="1:10">
      <c r="A37" s="27" t="s">
        <v>243</v>
      </c>
      <c r="B37" s="27" t="s">
        <v>328</v>
      </c>
      <c r="C37" s="27" t="s">
        <v>122</v>
      </c>
      <c r="D37" s="41">
        <f>_xlfn.NUMBERVALUE(IFERROR(VLOOKUP(TEXT(A37,"#"),'EXCEL SMX'!B:I,8,0),0))</f>
        <v>24</v>
      </c>
      <c r="E37" s="41">
        <f>_xlfn.NUMBERVALUE(VLOOKUP(A37,'FINAL BODEGA'!A:D,4,0))</f>
        <v>7</v>
      </c>
      <c r="F37" s="41">
        <f t="shared" si="4"/>
        <v>168</v>
      </c>
      <c r="G37" s="27">
        <f>IFERROR(_xlfn.NUMBERVALUE(SUBSTITUTE(VLOOKUP(TEXT(A37,"#"),'EXCEL SMX'!B:Q,9,0),",",".")),"0")*F37</f>
        <v>470.4</v>
      </c>
      <c r="H37" s="27">
        <f>IFERROR(_xlfn.NUMBERVALUE(SUBSTITUTE(VLOOKUP(TEXT(A37,"#"),'EXCEL SMX'!B:Q,16,0),",","."))/100,"0")*G37</f>
        <v>94.08</v>
      </c>
      <c r="I37" s="38">
        <f t="shared" si="5"/>
        <v>376.32</v>
      </c>
      <c r="J37" s="32"/>
    </row>
    <row r="38" spans="1:10">
      <c r="A38" s="27" t="s">
        <v>244</v>
      </c>
      <c r="B38" s="27" t="s">
        <v>328</v>
      </c>
      <c r="C38" s="27" t="s">
        <v>123</v>
      </c>
      <c r="D38" s="41">
        <f>_xlfn.NUMBERVALUE(IFERROR(VLOOKUP(TEXT(A38,"#"),'EXCEL SMX'!B:I,8,0),0))</f>
        <v>12</v>
      </c>
      <c r="E38" s="41">
        <f>_xlfn.NUMBERVALUE(VLOOKUP(A38,'FINAL BODEGA'!A:D,4,0))</f>
        <v>6</v>
      </c>
      <c r="F38" s="41">
        <f t="shared" si="4"/>
        <v>72</v>
      </c>
      <c r="G38" s="27">
        <f>IFERROR(_xlfn.NUMBERVALUE(SUBSTITUTE(VLOOKUP(TEXT(A38,"#"),'EXCEL SMX'!B:Q,9,0),",",".")),"0")*F38</f>
        <v>388.8</v>
      </c>
      <c r="H38" s="27">
        <f>IFERROR(_xlfn.NUMBERVALUE(SUBSTITUTE(VLOOKUP(TEXT(A38,"#"),'EXCEL SMX'!B:Q,16,0),",","."))/100,"0")*G38</f>
        <v>0</v>
      </c>
      <c r="I38" s="38">
        <f t="shared" si="5"/>
        <v>388.8</v>
      </c>
      <c r="J38" s="32"/>
    </row>
    <row r="39" spans="1:10">
      <c r="A39" s="27" t="s">
        <v>311</v>
      </c>
      <c r="B39" s="27" t="s">
        <v>328</v>
      </c>
      <c r="C39" s="27" t="s">
        <v>124</v>
      </c>
      <c r="D39" s="41">
        <f>_xlfn.NUMBERVALUE(IFERROR(VLOOKUP(TEXT(A39,"#"),'EXCEL SMX'!B:I,8,0),0))</f>
        <v>0</v>
      </c>
      <c r="E39" s="41">
        <f>_xlfn.NUMBERVALUE(VLOOKUP(A39,'FINAL BODEGA'!A:D,4,0))</f>
        <v>0</v>
      </c>
      <c r="F39" s="41">
        <f t="shared" si="4"/>
        <v>0</v>
      </c>
      <c r="G39" s="27">
        <f>IFERROR(_xlfn.NUMBERVALUE(SUBSTITUTE(VLOOKUP(TEXT(A39,"#"),'EXCEL SMX'!B:Q,9,0),",",".")),"0")*F39</f>
        <v>0</v>
      </c>
      <c r="H39" s="27">
        <f>IFERROR(_xlfn.NUMBERVALUE(SUBSTITUTE(VLOOKUP(TEXT(A39,"#"),'EXCEL SMX'!B:Q,16,0),",","."))/100,"0")*G39</f>
        <v>0</v>
      </c>
      <c r="I39" s="38">
        <f t="shared" si="5"/>
        <v>0</v>
      </c>
      <c r="J39" s="32"/>
    </row>
    <row r="40" spans="1:10">
      <c r="A40" s="27" t="s">
        <v>247</v>
      </c>
      <c r="B40" s="27" t="s">
        <v>328</v>
      </c>
      <c r="C40" s="27" t="s">
        <v>127</v>
      </c>
      <c r="D40" s="41">
        <f>_xlfn.NUMBERVALUE(IFERROR(VLOOKUP(TEXT(A40,"#"),'EXCEL SMX'!B:I,8,0),0))</f>
        <v>0</v>
      </c>
      <c r="E40" s="41">
        <f>_xlfn.NUMBERVALUE(VLOOKUP(A40,'FINAL BODEGA'!A:D,4,0))</f>
        <v>0</v>
      </c>
      <c r="F40" s="41">
        <f t="shared" si="4"/>
        <v>0</v>
      </c>
      <c r="G40" s="27">
        <f>IFERROR(_xlfn.NUMBERVALUE(SUBSTITUTE(VLOOKUP(TEXT(A40,"#"),'EXCEL SMX'!B:Q,9,0),",",".")),"0")*F40</f>
        <v>0</v>
      </c>
      <c r="H40" s="27">
        <f>IFERROR(_xlfn.NUMBERVALUE(SUBSTITUTE(VLOOKUP(TEXT(A40,"#"),'EXCEL SMX'!B:Q,16,0),",","."))/100,"0")*G40</f>
        <v>0</v>
      </c>
      <c r="I40" s="38">
        <f t="shared" si="5"/>
        <v>0</v>
      </c>
      <c r="J40" s="32"/>
    </row>
    <row r="41" spans="1:10">
      <c r="A41" s="27" t="s">
        <v>242</v>
      </c>
      <c r="B41" s="27" t="s">
        <v>329</v>
      </c>
      <c r="C41" s="27" t="s">
        <v>121</v>
      </c>
      <c r="D41" s="41">
        <f>_xlfn.NUMBERVALUE(IFERROR(VLOOKUP(TEXT(A41,"#"),'EXCEL SMX'!B:I,8,0),0))</f>
        <v>0</v>
      </c>
      <c r="E41" s="41">
        <f>_xlfn.NUMBERVALUE(VLOOKUP(A41,'FINAL BODEGA'!A:D,4,0))</f>
        <v>0</v>
      </c>
      <c r="F41" s="41">
        <f t="shared" si="4"/>
        <v>0</v>
      </c>
      <c r="G41" s="27">
        <f>IFERROR(_xlfn.NUMBERVALUE(SUBSTITUTE(VLOOKUP(TEXT(A41,"#"),'EXCEL SMX'!B:Q,9,0),",",".")),"0")*F41</f>
        <v>0</v>
      </c>
      <c r="H41" s="27">
        <f>IFERROR(_xlfn.NUMBERVALUE(SUBSTITUTE(VLOOKUP(TEXT(A41,"#"),'EXCEL SMX'!B:Q,16,0),",","."))/100,"0")*G41</f>
        <v>0</v>
      </c>
      <c r="I41" s="38">
        <f t="shared" si="5"/>
        <v>0</v>
      </c>
      <c r="J41" s="32"/>
    </row>
    <row r="42" spans="1:10">
      <c r="A42" s="27" t="s">
        <v>312</v>
      </c>
      <c r="B42" s="27" t="s">
        <v>329</v>
      </c>
      <c r="C42" s="27" t="s">
        <v>125</v>
      </c>
      <c r="D42" s="41">
        <f>_xlfn.NUMBERVALUE(IFERROR(VLOOKUP(TEXT(A42,"#"),'EXCEL SMX'!B:I,8,0),0))</f>
        <v>0</v>
      </c>
      <c r="E42" s="41">
        <f>_xlfn.NUMBERVALUE(VLOOKUP(A42,'FINAL BODEGA'!A:D,4,0))</f>
        <v>0</v>
      </c>
      <c r="F42" s="41">
        <f t="shared" si="4"/>
        <v>0</v>
      </c>
      <c r="G42" s="27">
        <f>IFERROR(_xlfn.NUMBERVALUE(SUBSTITUTE(VLOOKUP(TEXT(A42,"#"),'EXCEL SMX'!B:Q,9,0),",",".")),"0")*F42</f>
        <v>0</v>
      </c>
      <c r="H42" s="27">
        <f>IFERROR(_xlfn.NUMBERVALUE(SUBSTITUTE(VLOOKUP(TEXT(A42,"#"),'EXCEL SMX'!B:Q,16,0),",","."))/100,"0")*G42</f>
        <v>0</v>
      </c>
      <c r="I42" s="38">
        <f t="shared" si="5"/>
        <v>0</v>
      </c>
      <c r="J42" s="32"/>
    </row>
    <row r="43" spans="1:10">
      <c r="A43" s="27" t="s">
        <v>233</v>
      </c>
      <c r="B43" s="27" t="s">
        <v>329</v>
      </c>
      <c r="C43" s="27" t="s">
        <v>126</v>
      </c>
      <c r="D43" s="41">
        <f>_xlfn.NUMBERVALUE(IFERROR(VLOOKUP(TEXT(A43,"#"),'EXCEL SMX'!B:I,8,0),0))</f>
        <v>0</v>
      </c>
      <c r="E43" s="41">
        <f>_xlfn.NUMBERVALUE(VLOOKUP(A43,'FINAL BODEGA'!A:D,4,0))</f>
        <v>0</v>
      </c>
      <c r="F43" s="41">
        <f t="shared" si="4"/>
        <v>0</v>
      </c>
      <c r="G43" s="27">
        <f>IFERROR(_xlfn.NUMBERVALUE(SUBSTITUTE(VLOOKUP(TEXT(A43,"#"),'EXCEL SMX'!B:Q,9,0),",",".")),"0")*F43</f>
        <v>0</v>
      </c>
      <c r="H43" s="27">
        <f>IFERROR(_xlfn.NUMBERVALUE(SUBSTITUTE(VLOOKUP(TEXT(A43,"#"),'EXCEL SMX'!B:Q,16,0),",","."))/100,"0")*G43</f>
        <v>0</v>
      </c>
      <c r="I43" s="38">
        <f t="shared" si="5"/>
        <v>0</v>
      </c>
      <c r="J43" s="32"/>
    </row>
    <row r="44" spans="1:10">
      <c r="A44" s="27" t="s">
        <v>260</v>
      </c>
      <c r="B44" s="27" t="s">
        <v>330</v>
      </c>
      <c r="C44" s="27" t="s">
        <v>128</v>
      </c>
      <c r="D44" s="41">
        <f>_xlfn.NUMBERVALUE(IFERROR(VLOOKUP(TEXT(A44,"#"),'EXCEL SMX'!B:I,8,0),0))</f>
        <v>12</v>
      </c>
      <c r="E44" s="41">
        <f>_xlfn.NUMBERVALUE(VLOOKUP(A44,'FINAL BODEGA'!A:D,4,0))</f>
        <v>14</v>
      </c>
      <c r="F44" s="41">
        <f t="shared" si="4"/>
        <v>168</v>
      </c>
      <c r="G44" s="27">
        <f>IFERROR(_xlfn.NUMBERVALUE(SUBSTITUTE(VLOOKUP(TEXT(A44,"#"),'EXCEL SMX'!B:Q,9,0),",",".")),"0")*F44</f>
        <v>327.59999999999997</v>
      </c>
      <c r="H44" s="27">
        <f>IFERROR(_xlfn.NUMBERVALUE(SUBSTITUTE(VLOOKUP(TEXT(A44,"#"),'EXCEL SMX'!B:Q,16,0),",","."))/100,"0")*G44</f>
        <v>0</v>
      </c>
      <c r="I44" s="38">
        <f t="shared" si="5"/>
        <v>327.59999999999997</v>
      </c>
      <c r="J44" s="32"/>
    </row>
    <row r="45" spans="1:10">
      <c r="A45" s="27" t="s">
        <v>265</v>
      </c>
      <c r="B45" s="27" t="s">
        <v>330</v>
      </c>
      <c r="C45" s="27" t="s">
        <v>129</v>
      </c>
      <c r="D45" s="41">
        <f>_xlfn.NUMBERVALUE(IFERROR(VLOOKUP(TEXT(A45,"#"),'EXCEL SMX'!B:I,8,0),0))</f>
        <v>0</v>
      </c>
      <c r="E45" s="41">
        <f>_xlfn.NUMBERVALUE(VLOOKUP(A45,'FINAL BODEGA'!A:D,4,0))</f>
        <v>0</v>
      </c>
      <c r="F45" s="41">
        <f t="shared" si="4"/>
        <v>0</v>
      </c>
      <c r="G45" s="27">
        <f>IFERROR(_xlfn.NUMBERVALUE(SUBSTITUTE(VLOOKUP(TEXT(A45,"#"),'EXCEL SMX'!B:Q,9,0),",",".")),"0")*F45</f>
        <v>0</v>
      </c>
      <c r="H45" s="27">
        <f>IFERROR(_xlfn.NUMBERVALUE(SUBSTITUTE(VLOOKUP(TEXT(A45,"#"),'EXCEL SMX'!B:Q,16,0),",","."))/100,"0")*G45</f>
        <v>0</v>
      </c>
      <c r="I45" s="38">
        <f t="shared" si="5"/>
        <v>0</v>
      </c>
      <c r="J45" s="32"/>
    </row>
    <row r="46" spans="1:10">
      <c r="A46" s="27" t="s">
        <v>261</v>
      </c>
      <c r="B46" s="27" t="s">
        <v>330</v>
      </c>
      <c r="C46" s="27" t="s">
        <v>130</v>
      </c>
      <c r="D46" s="41">
        <f>_xlfn.NUMBERVALUE(IFERROR(VLOOKUP(TEXT(A46,"#"),'EXCEL SMX'!B:I,8,0),0))</f>
        <v>12</v>
      </c>
      <c r="E46" s="41">
        <f>_xlfn.NUMBERVALUE(VLOOKUP(A46,'FINAL BODEGA'!A:D,4,0))</f>
        <v>58</v>
      </c>
      <c r="F46" s="41">
        <f t="shared" si="4"/>
        <v>696</v>
      </c>
      <c r="G46" s="27">
        <f>IFERROR(_xlfn.NUMBERVALUE(SUBSTITUTE(VLOOKUP(TEXT(A46,"#"),'EXCEL SMX'!B:Q,9,0),",",".")),"0")*F46</f>
        <v>2923.2000000000003</v>
      </c>
      <c r="H46" s="27">
        <f>IFERROR(_xlfn.NUMBERVALUE(SUBSTITUTE(VLOOKUP(TEXT(A46,"#"),'EXCEL SMX'!B:Q,16,0),",","."))/100,"0")*G46</f>
        <v>584.6400000000001</v>
      </c>
      <c r="I46" s="38">
        <f t="shared" si="5"/>
        <v>2338.5600000000004</v>
      </c>
      <c r="J46" s="32"/>
    </row>
    <row r="47" spans="1:10">
      <c r="A47" s="27" t="s">
        <v>264</v>
      </c>
      <c r="B47" s="27" t="s">
        <v>330</v>
      </c>
      <c r="C47" s="27" t="s">
        <v>131</v>
      </c>
      <c r="D47" s="41">
        <f>_xlfn.NUMBERVALUE(IFERROR(VLOOKUP(TEXT(A47,"#"),'EXCEL SMX'!B:I,8,0),0))</f>
        <v>18</v>
      </c>
      <c r="E47" s="41">
        <f>_xlfn.NUMBERVALUE(VLOOKUP(A47,'FINAL BODEGA'!A:D,4,0))</f>
        <v>4</v>
      </c>
      <c r="F47" s="41">
        <f t="shared" si="4"/>
        <v>72</v>
      </c>
      <c r="G47" s="27">
        <f>IFERROR(_xlfn.NUMBERVALUE(SUBSTITUTE(VLOOKUP(TEXT(A47,"#"),'EXCEL SMX'!B:Q,9,0),",",".")),"0")*F47</f>
        <v>411.84</v>
      </c>
      <c r="H47" s="27">
        <f>IFERROR(_xlfn.NUMBERVALUE(SUBSTITUTE(VLOOKUP(TEXT(A47,"#"),'EXCEL SMX'!B:Q,16,0),",","."))/100,"0")*G47</f>
        <v>0</v>
      </c>
      <c r="I47" s="38">
        <f t="shared" si="5"/>
        <v>411.84</v>
      </c>
      <c r="J47" s="32"/>
    </row>
    <row r="48" spans="1:10">
      <c r="A48" s="27" t="s">
        <v>266</v>
      </c>
      <c r="B48" s="27" t="s">
        <v>330</v>
      </c>
      <c r="C48" s="27" t="s">
        <v>132</v>
      </c>
      <c r="D48" s="41">
        <f>_xlfn.NUMBERVALUE(IFERROR(VLOOKUP(TEXT(A48,"#"),'EXCEL SMX'!B:I,8,0),0))</f>
        <v>12</v>
      </c>
      <c r="E48" s="41">
        <f>_xlfn.NUMBERVALUE(VLOOKUP(A48,'FINAL BODEGA'!A:D,4,0))</f>
        <v>48</v>
      </c>
      <c r="F48" s="41">
        <f t="shared" si="4"/>
        <v>576</v>
      </c>
      <c r="G48" s="27">
        <f>IFERROR(_xlfn.NUMBERVALUE(SUBSTITUTE(VLOOKUP(TEXT(A48,"#"),'EXCEL SMX'!B:Q,9,0),",",".")),"0")*F48</f>
        <v>4083.84</v>
      </c>
      <c r="H48" s="27">
        <f>IFERROR(_xlfn.NUMBERVALUE(SUBSTITUTE(VLOOKUP(TEXT(A48,"#"),'EXCEL SMX'!B:Q,16,0),",","."))/100,"0")*G48</f>
        <v>816.76800000000003</v>
      </c>
      <c r="I48" s="38">
        <f t="shared" si="5"/>
        <v>3267.0720000000001</v>
      </c>
      <c r="J48" s="32"/>
    </row>
    <row r="49" spans="1:10">
      <c r="A49" s="27" t="s">
        <v>273</v>
      </c>
      <c r="B49" s="27" t="s">
        <v>330</v>
      </c>
      <c r="C49" s="27" t="s">
        <v>143</v>
      </c>
      <c r="D49" s="41">
        <f>_xlfn.NUMBERVALUE(IFERROR(VLOOKUP(TEXT(A49,"#"),'EXCEL SMX'!B:I,8,0),0))</f>
        <v>0</v>
      </c>
      <c r="E49" s="41">
        <f>_xlfn.NUMBERVALUE(VLOOKUP(A49,'FINAL BODEGA'!A:D,4,0))</f>
        <v>0</v>
      </c>
      <c r="F49" s="41">
        <f t="shared" si="4"/>
        <v>0</v>
      </c>
      <c r="G49" s="27">
        <f>IFERROR(_xlfn.NUMBERVALUE(SUBSTITUTE(VLOOKUP(TEXT(A49,"#"),'EXCEL SMX'!B:Q,9,0),",",".")),"0")*F49</f>
        <v>0</v>
      </c>
      <c r="H49" s="27">
        <f>IFERROR(_xlfn.NUMBERVALUE(SUBSTITUTE(VLOOKUP(TEXT(A49,"#"),'EXCEL SMX'!B:Q,16,0),",","."))/100,"0")*G49</f>
        <v>0</v>
      </c>
      <c r="I49" s="38">
        <f t="shared" si="5"/>
        <v>0</v>
      </c>
      <c r="J49" s="32"/>
    </row>
    <row r="50" spans="1:10">
      <c r="A50" s="27" t="s">
        <v>222</v>
      </c>
      <c r="B50" s="27" t="s">
        <v>330</v>
      </c>
      <c r="C50" s="27" t="s">
        <v>292</v>
      </c>
      <c r="D50" s="41">
        <f>_xlfn.NUMBERVALUE(IFERROR(VLOOKUP(TEXT(A50,"#"),'EXCEL SMX'!B:I,8,0),0))</f>
        <v>0</v>
      </c>
      <c r="E50" s="41">
        <f>_xlfn.NUMBERVALUE(VLOOKUP(A50,'FINAL BODEGA'!A:D,4,0))</f>
        <v>0</v>
      </c>
      <c r="F50" s="41">
        <f t="shared" si="4"/>
        <v>0</v>
      </c>
      <c r="G50" s="27">
        <f>IFERROR(_xlfn.NUMBERVALUE(SUBSTITUTE(VLOOKUP(TEXT(A50,"#"),'EXCEL SMX'!B:Q,9,0),",",".")),"0")*F50</f>
        <v>0</v>
      </c>
      <c r="H50" s="27">
        <f>IFERROR(_xlfn.NUMBERVALUE(SUBSTITUTE(VLOOKUP(TEXT(A50,"#"),'EXCEL SMX'!B:Q,16,0),",","."))/100,"0")*G50</f>
        <v>0</v>
      </c>
      <c r="I50" s="38">
        <f t="shared" si="5"/>
        <v>0</v>
      </c>
      <c r="J50" s="32"/>
    </row>
    <row r="51" spans="1:10">
      <c r="A51" s="27" t="s">
        <v>221</v>
      </c>
      <c r="B51" s="27" t="s">
        <v>330</v>
      </c>
      <c r="C51" s="27" t="s">
        <v>291</v>
      </c>
      <c r="D51" s="41">
        <f>_xlfn.NUMBERVALUE(IFERROR(VLOOKUP(TEXT(A51,"#"),'EXCEL SMX'!B:I,8,0),0))</f>
        <v>0</v>
      </c>
      <c r="E51" s="41">
        <f>_xlfn.NUMBERVALUE(VLOOKUP(A51,'FINAL BODEGA'!A:D,4,0))</f>
        <v>0</v>
      </c>
      <c r="F51" s="41">
        <f t="shared" si="4"/>
        <v>0</v>
      </c>
      <c r="G51" s="27">
        <f>IFERROR(_xlfn.NUMBERVALUE(SUBSTITUTE(VLOOKUP(TEXT(A51,"#"),'EXCEL SMX'!B:Q,9,0),",",".")),"0")*F51</f>
        <v>0</v>
      </c>
      <c r="H51" s="27">
        <f>IFERROR(_xlfn.NUMBERVALUE(SUBSTITUTE(VLOOKUP(TEXT(A51,"#"),'EXCEL SMX'!B:Q,16,0),",","."))/100,"0")*G51</f>
        <v>0</v>
      </c>
      <c r="I51" s="38">
        <f t="shared" si="5"/>
        <v>0</v>
      </c>
      <c r="J51" s="32"/>
    </row>
    <row r="52" spans="1:10">
      <c r="A52" s="27" t="s">
        <v>267</v>
      </c>
      <c r="B52" s="27" t="s">
        <v>331</v>
      </c>
      <c r="C52" s="27" t="s">
        <v>133</v>
      </c>
      <c r="D52" s="41">
        <f>_xlfn.NUMBERVALUE(IFERROR(VLOOKUP(TEXT(A52,"#"),'EXCEL SMX'!B:I,8,0),0))</f>
        <v>12</v>
      </c>
      <c r="E52" s="41">
        <f>_xlfn.NUMBERVALUE(VLOOKUP(A52,'FINAL BODEGA'!A:D,4,0))</f>
        <v>19</v>
      </c>
      <c r="F52" s="41">
        <f t="shared" si="4"/>
        <v>228</v>
      </c>
      <c r="G52" s="27">
        <f>IFERROR(_xlfn.NUMBERVALUE(SUBSTITUTE(VLOOKUP(TEXT(A52,"#"),'EXCEL SMX'!B:Q,9,0),",",".")),"0")*F52</f>
        <v>467.4</v>
      </c>
      <c r="H52" s="27">
        <f>IFERROR(_xlfn.NUMBERVALUE(SUBSTITUTE(VLOOKUP(TEXT(A52,"#"),'EXCEL SMX'!B:Q,16,0),",","."))/100,"0")*G52</f>
        <v>0</v>
      </c>
      <c r="I52" s="38">
        <f t="shared" si="5"/>
        <v>467.4</v>
      </c>
      <c r="J52" s="32"/>
    </row>
    <row r="53" spans="1:10">
      <c r="A53" s="27" t="s">
        <v>263</v>
      </c>
      <c r="B53" s="27" t="s">
        <v>331</v>
      </c>
      <c r="C53" s="27" t="s">
        <v>134</v>
      </c>
      <c r="D53" s="41">
        <f>_xlfn.NUMBERVALUE(IFERROR(VLOOKUP(TEXT(A53,"#"),'EXCEL SMX'!B:I,8,0),0))</f>
        <v>18</v>
      </c>
      <c r="E53" s="41">
        <f>_xlfn.NUMBERVALUE(VLOOKUP(A53,'FINAL BODEGA'!A:D,4,0))</f>
        <v>8</v>
      </c>
      <c r="F53" s="41">
        <f t="shared" si="4"/>
        <v>144</v>
      </c>
      <c r="G53" s="27">
        <f>IFERROR(_xlfn.NUMBERVALUE(SUBSTITUTE(VLOOKUP(TEXT(A53,"#"),'EXCEL SMX'!B:Q,9,0),",",".")),"0")*F53</f>
        <v>665.28</v>
      </c>
      <c r="H53" s="27">
        <f>IFERROR(_xlfn.NUMBERVALUE(SUBSTITUTE(VLOOKUP(TEXT(A53,"#"),'EXCEL SMX'!B:Q,16,0),",","."))/100,"0")*G53</f>
        <v>0</v>
      </c>
      <c r="I53" s="38">
        <f t="shared" si="5"/>
        <v>665.28</v>
      </c>
      <c r="J53" s="32"/>
    </row>
    <row r="54" spans="1:10">
      <c r="A54" s="27" t="s">
        <v>268</v>
      </c>
      <c r="B54" s="27" t="s">
        <v>331</v>
      </c>
      <c r="C54" s="35" t="s">
        <v>135</v>
      </c>
      <c r="D54" s="41">
        <f>_xlfn.NUMBERVALUE(IFERROR(VLOOKUP(TEXT(A54,"#"),'EXCEL SMX'!B:I,8,0),0))</f>
        <v>18</v>
      </c>
      <c r="E54" s="41">
        <f>_xlfn.NUMBERVALUE(VLOOKUP(A54,'FINAL BODEGA'!A:D,4,0))</f>
        <v>14</v>
      </c>
      <c r="F54" s="41">
        <f t="shared" si="4"/>
        <v>252</v>
      </c>
      <c r="G54" s="27">
        <f>IFERROR(_xlfn.NUMBERVALUE(SUBSTITUTE(VLOOKUP(TEXT(A54,"#"),'EXCEL SMX'!B:Q,9,0),",",".")),"0")*F54</f>
        <v>1575</v>
      </c>
      <c r="H54" s="27">
        <f>IFERROR(_xlfn.NUMBERVALUE(SUBSTITUTE(VLOOKUP(TEXT(A54,"#"),'EXCEL SMX'!B:Q,16,0),",","."))/100,"0")*G54</f>
        <v>315</v>
      </c>
      <c r="I54" s="38">
        <f t="shared" si="5"/>
        <v>1260</v>
      </c>
      <c r="J54" s="32"/>
    </row>
    <row r="55" spans="1:10">
      <c r="A55" s="27" t="s">
        <v>274</v>
      </c>
      <c r="B55" s="27" t="s">
        <v>331</v>
      </c>
      <c r="C55" s="28" t="s">
        <v>144</v>
      </c>
      <c r="D55" s="41">
        <f>_xlfn.NUMBERVALUE(IFERROR(VLOOKUP(TEXT(A55,"#"),'EXCEL SMX'!B:I,8,0),0))</f>
        <v>0</v>
      </c>
      <c r="E55" s="41">
        <f>_xlfn.NUMBERVALUE(VLOOKUP(A55,'FINAL BODEGA'!A:D,4,0))</f>
        <v>0</v>
      </c>
      <c r="F55" s="41">
        <f t="shared" si="4"/>
        <v>0</v>
      </c>
      <c r="G55" s="27">
        <f>IFERROR(_xlfn.NUMBERVALUE(SUBSTITUTE(VLOOKUP(TEXT(A55,"#"),'EXCEL SMX'!B:Q,9,0),",",".")),"0")*F55</f>
        <v>0</v>
      </c>
      <c r="H55" s="27">
        <f>IFERROR(_xlfn.NUMBERVALUE(SUBSTITUTE(VLOOKUP(TEXT(A55,"#"),'EXCEL SMX'!B:Q,16,0),",","."))/100,"0")*G55</f>
        <v>0</v>
      </c>
      <c r="I55" s="38">
        <f t="shared" si="5"/>
        <v>0</v>
      </c>
      <c r="J55" s="32"/>
    </row>
    <row r="56" spans="1:10">
      <c r="A56" s="27" t="s">
        <v>269</v>
      </c>
      <c r="B56" s="27" t="s">
        <v>332</v>
      </c>
      <c r="C56" s="27" t="s">
        <v>142</v>
      </c>
      <c r="D56" s="41">
        <f>_xlfn.NUMBERVALUE(IFERROR(VLOOKUP(TEXT(A56,"#"),'EXCEL SMX'!B:I,8,0),0))</f>
        <v>12</v>
      </c>
      <c r="E56" s="41">
        <f>_xlfn.NUMBERVALUE(VLOOKUP(A56,'FINAL BODEGA'!A:D,4,0))</f>
        <v>18</v>
      </c>
      <c r="F56" s="41">
        <f t="shared" si="4"/>
        <v>216</v>
      </c>
      <c r="G56" s="27">
        <f>IFERROR(_xlfn.NUMBERVALUE(SUBSTITUTE(VLOOKUP(TEXT(A56,"#"),'EXCEL SMX'!B:Q,9,0),",",".")),"0")*F56</f>
        <v>1015.2</v>
      </c>
      <c r="H56" s="27">
        <f>IFERROR(_xlfn.NUMBERVALUE(SUBSTITUTE(VLOOKUP(TEXT(A56,"#"),'EXCEL SMX'!B:Q,16,0),",","."))/100,"0")*G56</f>
        <v>0</v>
      </c>
      <c r="I56" s="38">
        <f t="shared" si="5"/>
        <v>1015.2</v>
      </c>
      <c r="J56" s="32"/>
    </row>
    <row r="57" spans="1:10">
      <c r="A57" s="51" t="s">
        <v>363</v>
      </c>
      <c r="B57" s="27" t="s">
        <v>365</v>
      </c>
      <c r="C57" s="53" t="s">
        <v>370</v>
      </c>
      <c r="D57" s="41">
        <f>_xlfn.NUMBERVALUE(IFERROR(VLOOKUP(TEXT(A57,"#"),'EXCEL SMX'!B:I,8,0),0))</f>
        <v>8</v>
      </c>
      <c r="E57" s="41">
        <f>_xlfn.NUMBERVALUE(VLOOKUP(A57,'FINAL BODEGA'!A:D,4,0))</f>
        <v>18</v>
      </c>
      <c r="F57" s="41">
        <f t="shared" si="4"/>
        <v>144</v>
      </c>
      <c r="G57" s="27">
        <f>IFERROR(_xlfn.NUMBERVALUE(SUBSTITUTE(VLOOKUP(TEXT(A57,"#"),'EXCEL SMX'!B:Q,9,0),",",".")),"0")*F57</f>
        <v>511.2</v>
      </c>
      <c r="H57" s="27">
        <f>IFERROR(_xlfn.NUMBERVALUE(SUBSTITUTE(VLOOKUP(TEXT(A57,"#"),'EXCEL SMX'!B:Q,16,0),",","."))/100,"0")*G57</f>
        <v>102.24000000000001</v>
      </c>
      <c r="I57" s="38">
        <f t="shared" si="5"/>
        <v>408.96</v>
      </c>
      <c r="J57" s="32"/>
    </row>
    <row r="58" spans="1:10">
      <c r="A58" s="51" t="s">
        <v>359</v>
      </c>
      <c r="B58" s="27" t="s">
        <v>365</v>
      </c>
      <c r="C58" s="53" t="s">
        <v>369</v>
      </c>
      <c r="D58" s="41">
        <f>_xlfn.NUMBERVALUE(IFERROR(VLOOKUP(TEXT(A58,"#"),'EXCEL SMX'!B:I,8,0),0))</f>
        <v>8</v>
      </c>
      <c r="E58" s="41">
        <f>_xlfn.NUMBERVALUE(VLOOKUP(A58,'FINAL BODEGA'!A:D,4,0))</f>
        <v>23</v>
      </c>
      <c r="F58" s="41">
        <f t="shared" si="4"/>
        <v>184</v>
      </c>
      <c r="G58" s="27">
        <f>IFERROR(_xlfn.NUMBERVALUE(SUBSTITUTE(VLOOKUP(TEXT(A58,"#"),'EXCEL SMX'!B:Q,9,0),",",".")),"0")*F58</f>
        <v>699.19999999999993</v>
      </c>
      <c r="H58" s="27">
        <f>IFERROR(_xlfn.NUMBERVALUE(SUBSTITUTE(VLOOKUP(TEXT(A58,"#"),'EXCEL SMX'!B:Q,16,0),",","."))/100,"0")*G58</f>
        <v>139.84</v>
      </c>
      <c r="I58" s="38">
        <f t="shared" si="5"/>
        <v>559.3599999999999</v>
      </c>
      <c r="J58" s="32"/>
    </row>
    <row r="59" spans="1:10">
      <c r="A59" s="51" t="s">
        <v>360</v>
      </c>
      <c r="B59" s="27" t="s">
        <v>365</v>
      </c>
      <c r="C59" s="53" t="s">
        <v>368</v>
      </c>
      <c r="D59" s="41">
        <f>_xlfn.NUMBERVALUE(IFERROR(VLOOKUP(TEXT(A59,"#"),'EXCEL SMX'!B:I,8,0),0))</f>
        <v>8</v>
      </c>
      <c r="E59" s="41">
        <f>_xlfn.NUMBERVALUE(VLOOKUP(A59,'FINAL BODEGA'!A:D,4,0))</f>
        <v>3</v>
      </c>
      <c r="F59" s="41">
        <f t="shared" si="4"/>
        <v>24</v>
      </c>
      <c r="G59" s="27">
        <f>IFERROR(_xlfn.NUMBERVALUE(SUBSTITUTE(VLOOKUP(TEXT(A59,"#"),'EXCEL SMX'!B:Q,9,0),",",".")),"0")*F59</f>
        <v>85.199999999999989</v>
      </c>
      <c r="H59" s="27">
        <f>IFERROR(_xlfn.NUMBERVALUE(SUBSTITUTE(VLOOKUP(TEXT(A59,"#"),'EXCEL SMX'!B:Q,16,0),",","."))/100,"0")*G59</f>
        <v>0</v>
      </c>
      <c r="I59" s="38">
        <f t="shared" si="5"/>
        <v>85.199999999999989</v>
      </c>
      <c r="J59" s="32"/>
    </row>
    <row r="60" spans="1:10">
      <c r="A60" s="27" t="s">
        <v>272</v>
      </c>
      <c r="B60" s="27" t="s">
        <v>333</v>
      </c>
      <c r="C60" s="27" t="s">
        <v>136</v>
      </c>
      <c r="D60" s="41">
        <f>_xlfn.NUMBERVALUE(IFERROR(VLOOKUP(TEXT(A60,"#"),'EXCEL SMX'!B:I,8,0),0))</f>
        <v>18</v>
      </c>
      <c r="E60" s="41">
        <f>_xlfn.NUMBERVALUE(VLOOKUP(A60,'FINAL BODEGA'!A:D,4,0))</f>
        <v>17</v>
      </c>
      <c r="F60" s="41">
        <f t="shared" si="4"/>
        <v>306</v>
      </c>
      <c r="G60" s="27">
        <f>IFERROR(_xlfn.NUMBERVALUE(SUBSTITUTE(VLOOKUP(TEXT(A60,"#"),'EXCEL SMX'!B:Q,9,0),",",".")),"0")*F60</f>
        <v>930.24</v>
      </c>
      <c r="H60" s="27">
        <f>IFERROR(_xlfn.NUMBERVALUE(SUBSTITUTE(VLOOKUP(TEXT(A60,"#"),'EXCEL SMX'!B:Q,16,0),",","."))/100,"0")*G60</f>
        <v>0</v>
      </c>
      <c r="I60" s="38">
        <f t="shared" si="5"/>
        <v>930.24</v>
      </c>
      <c r="J60" s="32"/>
    </row>
    <row r="61" spans="1:10">
      <c r="A61" s="27" t="s">
        <v>271</v>
      </c>
      <c r="B61" s="27" t="s">
        <v>333</v>
      </c>
      <c r="C61" s="27" t="s">
        <v>137</v>
      </c>
      <c r="D61" s="41">
        <f>_xlfn.NUMBERVALUE(IFERROR(VLOOKUP(TEXT(A61,"#"),'EXCEL SMX'!B:I,8,0),0))</f>
        <v>12</v>
      </c>
      <c r="E61" s="41">
        <f>_xlfn.NUMBERVALUE(VLOOKUP(A61,'FINAL BODEGA'!A:D,4,0))</f>
        <v>6</v>
      </c>
      <c r="F61" s="41">
        <f t="shared" si="4"/>
        <v>72</v>
      </c>
      <c r="G61" s="27">
        <f>IFERROR(_xlfn.NUMBERVALUE(SUBSTITUTE(VLOOKUP(TEXT(A61,"#"),'EXCEL SMX'!B:Q,9,0),",",".")),"0")*F61</f>
        <v>432</v>
      </c>
      <c r="H61" s="27">
        <f>IFERROR(_xlfn.NUMBERVALUE(SUBSTITUTE(VLOOKUP(TEXT(A61,"#"),'EXCEL SMX'!B:Q,16,0),",","."))/100,"0")*G61</f>
        <v>0</v>
      </c>
      <c r="I61" s="38">
        <f t="shared" si="5"/>
        <v>432</v>
      </c>
      <c r="J61" s="32"/>
    </row>
    <row r="62" spans="1:10">
      <c r="A62" s="27" t="s">
        <v>275</v>
      </c>
      <c r="B62" s="27" t="s">
        <v>334</v>
      </c>
      <c r="C62" s="27" t="s">
        <v>147</v>
      </c>
      <c r="D62" s="41">
        <f>_xlfn.NUMBERVALUE(IFERROR(VLOOKUP(TEXT(A62,"#"),'EXCEL SMX'!B:I,8,0),0))</f>
        <v>0</v>
      </c>
      <c r="E62" s="41">
        <f>_xlfn.NUMBERVALUE(VLOOKUP(A62,'FINAL BODEGA'!A:D,4,0))</f>
        <v>0</v>
      </c>
      <c r="F62" s="41">
        <f t="shared" si="4"/>
        <v>0</v>
      </c>
      <c r="G62" s="27">
        <f>IFERROR(_xlfn.NUMBERVALUE(SUBSTITUTE(VLOOKUP(TEXT(A62,"#"),'EXCEL SMX'!B:Q,9,0),",",".")),"0")*F62</f>
        <v>0</v>
      </c>
      <c r="H62" s="27">
        <f>IFERROR(_xlfn.NUMBERVALUE(SUBSTITUTE(VLOOKUP(TEXT(A62,"#"),'EXCEL SMX'!B:Q,16,0),",","."))/100,"0")*G62</f>
        <v>0</v>
      </c>
      <c r="I62" s="38">
        <f t="shared" si="5"/>
        <v>0</v>
      </c>
      <c r="J62" s="32"/>
    </row>
    <row r="63" spans="1:10">
      <c r="A63" s="27" t="s">
        <v>245</v>
      </c>
      <c r="B63" s="27" t="s">
        <v>335</v>
      </c>
      <c r="C63" s="27" t="s">
        <v>138</v>
      </c>
      <c r="D63" s="41">
        <f>_xlfn.NUMBERVALUE(IFERROR(VLOOKUP(TEXT(A63,"#"),'EXCEL SMX'!B:I,8,0),0))</f>
        <v>24</v>
      </c>
      <c r="E63" s="41">
        <f>_xlfn.NUMBERVALUE(VLOOKUP(A63,'FINAL BODEGA'!A:D,4,0))</f>
        <v>3</v>
      </c>
      <c r="F63" s="41">
        <f t="shared" si="4"/>
        <v>72</v>
      </c>
      <c r="G63" s="27">
        <f>IFERROR(_xlfn.NUMBERVALUE(SUBSTITUTE(VLOOKUP(TEXT(A63,"#"),'EXCEL SMX'!B:Q,9,0),",",".")),"0")*F63</f>
        <v>201.6</v>
      </c>
      <c r="H63" s="27">
        <f>IFERROR(_xlfn.NUMBERVALUE(SUBSTITUTE(VLOOKUP(TEXT(A63,"#"),'EXCEL SMX'!B:Q,16,0),",","."))/100,"0")*G63</f>
        <v>0</v>
      </c>
      <c r="I63" s="38">
        <f t="shared" si="5"/>
        <v>201.6</v>
      </c>
      <c r="J63" s="32"/>
    </row>
    <row r="64" spans="1:10" s="73" customFormat="1">
      <c r="A64" s="27" t="s">
        <v>246</v>
      </c>
      <c r="B64" s="27" t="s">
        <v>335</v>
      </c>
      <c r="C64" s="27" t="s">
        <v>139</v>
      </c>
      <c r="D64" s="41">
        <f>_xlfn.NUMBERVALUE(IFERROR(VLOOKUP(TEXT(A64,"#"),'EXCEL SMX'!B:I,8,0),0))</f>
        <v>12</v>
      </c>
      <c r="E64" s="41">
        <f>_xlfn.NUMBERVALUE(VLOOKUP(A64,'FINAL BODEGA'!A:D,4,0))</f>
        <v>4</v>
      </c>
      <c r="F64" s="41">
        <f t="shared" si="4"/>
        <v>48</v>
      </c>
      <c r="G64" s="27">
        <f>IFERROR(_xlfn.NUMBERVALUE(SUBSTITUTE(VLOOKUP(TEXT(A64,"#"),'EXCEL SMX'!B:Q,9,0),",",".")),"0")*F64</f>
        <v>259.20000000000005</v>
      </c>
      <c r="H64" s="27">
        <f>IFERROR(_xlfn.NUMBERVALUE(SUBSTITUTE(VLOOKUP(TEXT(A64,"#"),'EXCEL SMX'!B:Q,16,0),",","."))/100,"0")*G64</f>
        <v>0</v>
      </c>
      <c r="I64" s="38">
        <f t="shared" si="5"/>
        <v>259.20000000000005</v>
      </c>
      <c r="J64" s="32"/>
    </row>
    <row r="65" spans="1:10">
      <c r="A65" s="27" t="s">
        <v>276</v>
      </c>
      <c r="B65" s="27" t="s">
        <v>336</v>
      </c>
      <c r="C65" s="27" t="s">
        <v>145</v>
      </c>
      <c r="D65" s="41">
        <f>_xlfn.NUMBERVALUE(IFERROR(VLOOKUP(TEXT(A65,"#"),'EXCEL SMX'!B:I,8,0),0))</f>
        <v>0</v>
      </c>
      <c r="E65" s="41">
        <f>_xlfn.NUMBERVALUE(VLOOKUP(A65,'FINAL BODEGA'!A:D,4,0))</f>
        <v>0</v>
      </c>
      <c r="F65" s="41">
        <f t="shared" ref="F65:F107" si="6">D65*E65</f>
        <v>0</v>
      </c>
      <c r="G65" s="27">
        <f>IFERROR(_xlfn.NUMBERVALUE(SUBSTITUTE(VLOOKUP(TEXT(A65,"#"),'EXCEL SMX'!B:Q,9,0),",",".")),"0")*F65</f>
        <v>0</v>
      </c>
      <c r="H65" s="27">
        <f>IFERROR(_xlfn.NUMBERVALUE(SUBSTITUTE(VLOOKUP(TEXT(A65,"#"),'EXCEL SMX'!B:Q,16,0),",","."))/100,"0")*G65</f>
        <v>0</v>
      </c>
      <c r="I65" s="38">
        <f t="shared" ref="I65:I107" si="7">G65-H65</f>
        <v>0</v>
      </c>
      <c r="J65" s="32"/>
    </row>
    <row r="66" spans="1:10">
      <c r="A66" s="27" t="s">
        <v>262</v>
      </c>
      <c r="B66" s="27" t="s">
        <v>336</v>
      </c>
      <c r="C66" s="27" t="s">
        <v>140</v>
      </c>
      <c r="D66" s="41">
        <f>_xlfn.NUMBERVALUE(IFERROR(VLOOKUP(TEXT(A66,"#"),'EXCEL SMX'!B:I,8,0),0))</f>
        <v>0</v>
      </c>
      <c r="E66" s="41">
        <f>_xlfn.NUMBERVALUE(VLOOKUP(A66,'FINAL BODEGA'!A:D,4,0))</f>
        <v>0</v>
      </c>
      <c r="F66" s="41">
        <f t="shared" si="6"/>
        <v>0</v>
      </c>
      <c r="G66" s="27">
        <f>IFERROR(_xlfn.NUMBERVALUE(SUBSTITUTE(VLOOKUP(TEXT(A66,"#"),'EXCEL SMX'!B:Q,9,0),",",".")),"0")*F66</f>
        <v>0</v>
      </c>
      <c r="H66" s="27">
        <f>IFERROR(_xlfn.NUMBERVALUE(SUBSTITUTE(VLOOKUP(TEXT(A66,"#"),'EXCEL SMX'!B:Q,16,0),",","."))/100,"0")*G66</f>
        <v>0</v>
      </c>
      <c r="I66" s="38">
        <f t="shared" si="7"/>
        <v>0</v>
      </c>
      <c r="J66" s="32"/>
    </row>
    <row r="67" spans="1:10">
      <c r="A67" s="27" t="s">
        <v>234</v>
      </c>
      <c r="B67" s="27" t="s">
        <v>336</v>
      </c>
      <c r="C67" s="27" t="s">
        <v>141</v>
      </c>
      <c r="D67" s="41">
        <f>_xlfn.NUMBERVALUE(IFERROR(VLOOKUP(TEXT(A67,"#"),'EXCEL SMX'!B:I,8,0),0))</f>
        <v>0</v>
      </c>
      <c r="E67" s="41">
        <f>_xlfn.NUMBERVALUE(VLOOKUP(A67,'FINAL BODEGA'!A:D,4,0))</f>
        <v>0</v>
      </c>
      <c r="F67" s="41">
        <f t="shared" si="6"/>
        <v>0</v>
      </c>
      <c r="G67" s="27">
        <f>IFERROR(_xlfn.NUMBERVALUE(SUBSTITUTE(VLOOKUP(TEXT(A67,"#"),'EXCEL SMX'!B:Q,9,0),",",".")),"0")*F67</f>
        <v>0</v>
      </c>
      <c r="H67" s="27">
        <f>IFERROR(_xlfn.NUMBERVALUE(SUBSTITUTE(VLOOKUP(TEXT(A67,"#"),'EXCEL SMX'!B:Q,16,0),",","."))/100,"0")*G67</f>
        <v>0</v>
      </c>
      <c r="I67" s="38">
        <f t="shared" si="7"/>
        <v>0</v>
      </c>
      <c r="J67" s="32"/>
    </row>
    <row r="68" spans="1:10">
      <c r="A68" s="27" t="s">
        <v>270</v>
      </c>
      <c r="B68" s="27" t="s">
        <v>337</v>
      </c>
      <c r="C68" s="27" t="s">
        <v>146</v>
      </c>
      <c r="D68" s="41">
        <f>_xlfn.NUMBERVALUE(IFERROR(VLOOKUP(TEXT(A68,"#"),'EXCEL SMX'!B:I,8,0),0))</f>
        <v>0</v>
      </c>
      <c r="E68" s="41">
        <f>_xlfn.NUMBERVALUE(VLOOKUP(A68,'FINAL BODEGA'!A:D,4,0))</f>
        <v>0</v>
      </c>
      <c r="F68" s="41">
        <f t="shared" si="6"/>
        <v>0</v>
      </c>
      <c r="G68" s="27">
        <f>IFERROR(_xlfn.NUMBERVALUE(SUBSTITUTE(VLOOKUP(TEXT(A68,"#"),'EXCEL SMX'!B:Q,9,0),",",".")),"0")*F68</f>
        <v>0</v>
      </c>
      <c r="H68" s="27">
        <f>IFERROR(_xlfn.NUMBERVALUE(SUBSTITUTE(VLOOKUP(TEXT(A68,"#"),'EXCEL SMX'!B:Q,16,0),",","."))/100,"0")*G68</f>
        <v>0</v>
      </c>
      <c r="I68" s="38">
        <f t="shared" si="7"/>
        <v>0</v>
      </c>
      <c r="J68" s="32"/>
    </row>
    <row r="69" spans="1:10">
      <c r="A69" s="27" t="s">
        <v>154</v>
      </c>
      <c r="B69" s="27" t="s">
        <v>337</v>
      </c>
      <c r="C69" s="27" t="s">
        <v>343</v>
      </c>
      <c r="D69" s="41">
        <f>_xlfn.NUMBERVALUE(IFERROR(VLOOKUP(TEXT(A69,"#"),'EXCEL SMX'!B:I,8,0),0))</f>
        <v>0</v>
      </c>
      <c r="E69" s="41">
        <f>_xlfn.NUMBERVALUE(VLOOKUP(A69,'FINAL BODEGA'!A:D,4,0))</f>
        <v>0</v>
      </c>
      <c r="F69" s="41">
        <f t="shared" si="6"/>
        <v>0</v>
      </c>
      <c r="G69" s="27">
        <f>IFERROR(_xlfn.NUMBERVALUE(SUBSTITUTE(VLOOKUP(TEXT(A69,"#"),'EXCEL SMX'!B:Q,9,0),",",".")),"0")*F69</f>
        <v>0</v>
      </c>
      <c r="H69" s="27">
        <f>IFERROR(_xlfn.NUMBERVALUE(SUBSTITUTE(VLOOKUP(TEXT(A69,"#"),'EXCEL SMX'!B:Q,16,0),",","."))/100,"0")*G69</f>
        <v>0</v>
      </c>
      <c r="I69" s="38">
        <f t="shared" si="7"/>
        <v>0</v>
      </c>
      <c r="J69" s="32"/>
    </row>
    <row r="70" spans="1:10">
      <c r="A70" s="51" t="s">
        <v>361</v>
      </c>
      <c r="B70" s="27" t="s">
        <v>364</v>
      </c>
      <c r="C70" s="53" t="s">
        <v>366</v>
      </c>
      <c r="D70" s="41">
        <f>_xlfn.NUMBERVALUE(IFERROR(VLOOKUP(TEXT(A70,"#"),'EXCEL SMX'!B:I,8,0),0))</f>
        <v>13</v>
      </c>
      <c r="E70" s="41">
        <f>_xlfn.NUMBERVALUE(VLOOKUP(A70,'FINAL BODEGA'!A:D,4,0))</f>
        <v>9</v>
      </c>
      <c r="F70" s="41">
        <f t="shared" si="6"/>
        <v>117</v>
      </c>
      <c r="G70" s="27">
        <f>IFERROR(_xlfn.NUMBERVALUE(SUBSTITUTE(VLOOKUP(TEXT(A70,"#"),'EXCEL SMX'!B:Q,9,0),",",".")),"0")*F70</f>
        <v>210.6</v>
      </c>
      <c r="H70" s="27">
        <f>IFERROR(_xlfn.NUMBERVALUE(SUBSTITUTE(VLOOKUP(TEXT(A70,"#"),'EXCEL SMX'!B:Q,16,0),",","."))/100,"0")*G70</f>
        <v>0</v>
      </c>
      <c r="I70" s="38">
        <f t="shared" si="7"/>
        <v>210.6</v>
      </c>
      <c r="J70" s="32"/>
    </row>
    <row r="71" spans="1:10">
      <c r="A71" s="51" t="s">
        <v>362</v>
      </c>
      <c r="B71" s="27" t="s">
        <v>364</v>
      </c>
      <c r="C71" s="53" t="s">
        <v>367</v>
      </c>
      <c r="D71" s="41">
        <f>_xlfn.NUMBERVALUE(IFERROR(VLOOKUP(TEXT(A71,"#"),'EXCEL SMX'!B:I,8,0),0))</f>
        <v>8</v>
      </c>
      <c r="E71" s="41">
        <f>_xlfn.NUMBERVALUE(VLOOKUP(A71,'FINAL BODEGA'!A:D,4,0))</f>
        <v>4</v>
      </c>
      <c r="F71" s="41">
        <f t="shared" si="6"/>
        <v>32</v>
      </c>
      <c r="G71" s="27">
        <f>IFERROR(_xlfn.NUMBERVALUE(SUBSTITUTE(VLOOKUP(TEXT(A71,"#"),'EXCEL SMX'!B:Q,9,0),",",".")),"0")*F71</f>
        <v>131.19999999999999</v>
      </c>
      <c r="H71" s="27">
        <f>IFERROR(_xlfn.NUMBERVALUE(SUBSTITUTE(VLOOKUP(TEXT(A71,"#"),'EXCEL SMX'!B:Q,16,0),",","."))/100,"0")*G71</f>
        <v>26.24</v>
      </c>
      <c r="I71" s="38">
        <f t="shared" si="7"/>
        <v>104.96</v>
      </c>
      <c r="J71" s="32"/>
    </row>
    <row r="72" spans="1:10">
      <c r="A72" s="27" t="s">
        <v>223</v>
      </c>
      <c r="B72" s="27" t="s">
        <v>294</v>
      </c>
      <c r="C72" s="27" t="s">
        <v>344</v>
      </c>
      <c r="D72" s="41">
        <f>_xlfn.NUMBERVALUE(IFERROR(VLOOKUP(TEXT(A72,"#"),'EXCEL SMX'!B:I,8,0),0))</f>
        <v>12</v>
      </c>
      <c r="E72" s="41">
        <f>_xlfn.NUMBERVALUE(VLOOKUP(A72,'FINAL BODEGA'!A:D,4,0))</f>
        <v>45</v>
      </c>
      <c r="F72" s="41">
        <f t="shared" si="6"/>
        <v>540</v>
      </c>
      <c r="G72" s="27">
        <f>IFERROR(_xlfn.NUMBERVALUE(SUBSTITUTE(VLOOKUP(TEXT(A72,"#"),'EXCEL SMX'!B:Q,9,0),",",".")),"0")*F72</f>
        <v>891</v>
      </c>
      <c r="H72" s="27">
        <f>IFERROR(_xlfn.NUMBERVALUE(SUBSTITUTE(VLOOKUP(TEXT(A72,"#"),'EXCEL SMX'!B:Q,16,0),",","."))/100,"0")*G72</f>
        <v>178.20000000000002</v>
      </c>
      <c r="I72" s="38">
        <f t="shared" si="7"/>
        <v>712.8</v>
      </c>
      <c r="J72" s="32"/>
    </row>
    <row r="73" spans="1:10">
      <c r="A73" s="27" t="s">
        <v>224</v>
      </c>
      <c r="B73" s="27" t="s">
        <v>294</v>
      </c>
      <c r="C73" s="68" t="s">
        <v>345</v>
      </c>
      <c r="D73" s="41">
        <f>_xlfn.NUMBERVALUE(IFERROR(VLOOKUP(TEXT(A73,"#"),'EXCEL SMX'!B:I,8,0),0))</f>
        <v>12</v>
      </c>
      <c r="E73" s="41">
        <f>_xlfn.NUMBERVALUE(VLOOKUP(A73,'FINAL BODEGA'!A:D,4,0))</f>
        <v>11</v>
      </c>
      <c r="F73" s="41">
        <f t="shared" si="6"/>
        <v>132</v>
      </c>
      <c r="G73" s="27">
        <f>IFERROR(_xlfn.NUMBERVALUE(SUBSTITUTE(VLOOKUP(TEXT(A73,"#"),'EXCEL SMX'!B:Q,9,0),",",".")),"0")*F73</f>
        <v>231</v>
      </c>
      <c r="H73" s="27">
        <f>IFERROR(_xlfn.NUMBERVALUE(SUBSTITUTE(VLOOKUP(TEXT(A73,"#"),'EXCEL SMX'!B:Q,16,0),",","."))/100,"0")*G73</f>
        <v>0</v>
      </c>
      <c r="I73" s="38">
        <f t="shared" si="7"/>
        <v>231</v>
      </c>
      <c r="J73" s="32"/>
    </row>
    <row r="74" spans="1:10">
      <c r="A74" s="27" t="s">
        <v>225</v>
      </c>
      <c r="B74" s="27" t="s">
        <v>294</v>
      </c>
      <c r="C74" s="68" t="s">
        <v>346</v>
      </c>
      <c r="D74" s="41">
        <f>_xlfn.NUMBERVALUE(IFERROR(VLOOKUP(TEXT(A74,"#"),'EXCEL SMX'!B:I,8,0),0))</f>
        <v>12</v>
      </c>
      <c r="E74" s="41">
        <f>_xlfn.NUMBERVALUE(VLOOKUP(A74,'FINAL BODEGA'!A:D,4,0))</f>
        <v>8</v>
      </c>
      <c r="F74" s="41">
        <f t="shared" si="6"/>
        <v>96</v>
      </c>
      <c r="G74" s="27">
        <f>IFERROR(_xlfn.NUMBERVALUE(SUBSTITUTE(VLOOKUP(TEXT(A74,"#"),'EXCEL SMX'!B:Q,9,0),",",".")),"0")*F74</f>
        <v>182.39999999999998</v>
      </c>
      <c r="H74" s="27">
        <f>IFERROR(_xlfn.NUMBERVALUE(SUBSTITUTE(VLOOKUP(TEXT(A74,"#"),'EXCEL SMX'!B:Q,16,0),",","."))/100,"0")*G74</f>
        <v>0</v>
      </c>
      <c r="I74" s="38">
        <f t="shared" si="7"/>
        <v>182.39999999999998</v>
      </c>
      <c r="J74" s="32"/>
    </row>
    <row r="75" spans="1:10" s="1" customFormat="1">
      <c r="A75" s="30" t="s">
        <v>226</v>
      </c>
      <c r="B75" s="27" t="s">
        <v>294</v>
      </c>
      <c r="C75" s="69" t="s">
        <v>382</v>
      </c>
      <c r="D75" s="47">
        <f>_xlfn.NUMBERVALUE(IFERROR(VLOOKUP(TEXT(A75,"#"),'EXCEL SMX'!B:I,8,0),0))</f>
        <v>12</v>
      </c>
      <c r="E75" s="48">
        <f>_xlfn.NUMBERVALUE(VLOOKUP(A75,'FINAL BODEGA'!A:D,4,0))</f>
        <v>4</v>
      </c>
      <c r="F75" s="49">
        <f>D75*E75</f>
        <v>48</v>
      </c>
      <c r="G75" s="27">
        <f>IFERROR(_xlfn.NUMBERVALUE(SUBSTITUTE(VLOOKUP(TEXT(A75,"#"),'EXCEL SMX'!B:Q,9,0),",",".")),"0")*F75</f>
        <v>146.39999999999998</v>
      </c>
      <c r="H75" s="27">
        <f>IFERROR(_xlfn.NUMBERVALUE(SUBSTITUTE(VLOOKUP(TEXT(A75,"#"),'EXCEL SMX'!B:Q,16,0),",","."))/100,"0")*G75</f>
        <v>0</v>
      </c>
      <c r="I75" s="38">
        <f>G75-H75</f>
        <v>146.39999999999998</v>
      </c>
      <c r="J75" s="50"/>
    </row>
    <row r="76" spans="1:10">
      <c r="A76" s="27" t="s">
        <v>372</v>
      </c>
      <c r="B76" s="27" t="s">
        <v>338</v>
      </c>
      <c r="C76" s="68" t="s">
        <v>373</v>
      </c>
      <c r="D76" s="41">
        <f>_xlfn.NUMBERVALUE(IFERROR(VLOOKUP(TEXT(A76,"#"),'EXCEL SMX'!B:I,8,0),0))</f>
        <v>12</v>
      </c>
      <c r="E76" s="41">
        <f>_xlfn.NUMBERVALUE(VLOOKUP(A76,'FINAL BODEGA'!A:D,4,0))</f>
        <v>13</v>
      </c>
      <c r="F76" s="41">
        <f t="shared" si="6"/>
        <v>156</v>
      </c>
      <c r="G76" s="27">
        <f>IFERROR(_xlfn.NUMBERVALUE(SUBSTITUTE(VLOOKUP(TEXT(A76,"#"),'EXCEL SMX'!B:Q,9,0),",",".")),"0")*F76</f>
        <v>302.64</v>
      </c>
      <c r="H76" s="27">
        <f>IFERROR(_xlfn.NUMBERVALUE(SUBSTITUTE(VLOOKUP(TEXT(A76,"#"),'EXCEL SMX'!B:Q,16,0),",","."))/100,"0")*G76</f>
        <v>0</v>
      </c>
      <c r="I76" s="38">
        <f t="shared" si="7"/>
        <v>302.64</v>
      </c>
      <c r="J76" s="32"/>
    </row>
    <row r="77" spans="1:10">
      <c r="A77" s="27" t="s">
        <v>257</v>
      </c>
      <c r="B77" s="27" t="s">
        <v>90</v>
      </c>
      <c r="C77" s="68" t="s">
        <v>119</v>
      </c>
      <c r="D77" s="41">
        <f>_xlfn.NUMBERVALUE(IFERROR(VLOOKUP(TEXT(A77,"#"),'EXCEL SMX'!B:I,8,0),0))</f>
        <v>0</v>
      </c>
      <c r="E77" s="41">
        <f>_xlfn.NUMBERVALUE(VLOOKUP(A77,'FINAL BODEGA'!A:D,4,0))</f>
        <v>0</v>
      </c>
      <c r="F77" s="41">
        <f t="shared" si="6"/>
        <v>0</v>
      </c>
      <c r="G77" s="27">
        <f>IFERROR(_xlfn.NUMBERVALUE(SUBSTITUTE(VLOOKUP(TEXT(A77,"#"),'EXCEL SMX'!B:Q,9,0),",",".")),"0")*F77</f>
        <v>0</v>
      </c>
      <c r="H77" s="27">
        <f>IFERROR(_xlfn.NUMBERVALUE(SUBSTITUTE(VLOOKUP(TEXT(A77,"#"),'EXCEL SMX'!B:Q,16,0),",","."))/100,"0")*G77</f>
        <v>0</v>
      </c>
      <c r="I77" s="38">
        <f t="shared" si="7"/>
        <v>0</v>
      </c>
      <c r="J77" s="32"/>
    </row>
    <row r="78" spans="1:10" ht="16" thickBot="1">
      <c r="A78" s="27" t="s">
        <v>287</v>
      </c>
      <c r="B78" s="27" t="s">
        <v>339</v>
      </c>
      <c r="C78" s="68" t="s">
        <v>150</v>
      </c>
      <c r="D78" s="41">
        <f>_xlfn.NUMBERVALUE(IFERROR(VLOOKUP(TEXT(A78,"#"),'EXCEL SMX'!B:I,8,0),0))</f>
        <v>12</v>
      </c>
      <c r="E78" s="41">
        <f>_xlfn.NUMBERVALUE(VLOOKUP(A78,'FINAL BODEGA'!A:D,4,0))</f>
        <v>1</v>
      </c>
      <c r="F78" s="41">
        <f t="shared" si="6"/>
        <v>12</v>
      </c>
      <c r="G78" s="27">
        <f>IFERROR(_xlfn.NUMBERVALUE(SUBSTITUTE(VLOOKUP(TEXT(A78,"#"),'EXCEL SMX'!B:Q,9,0),",",".")),"0")*F78</f>
        <v>23.28</v>
      </c>
      <c r="H78" s="27">
        <f>IFERROR(_xlfn.NUMBERVALUE(SUBSTITUTE(VLOOKUP(TEXT(A78,"#"),'EXCEL SMX'!B:Q,16,0),",","."))/100,"0")*G78</f>
        <v>0</v>
      </c>
      <c r="I78" s="38">
        <f t="shared" si="7"/>
        <v>23.28</v>
      </c>
      <c r="J78" s="32"/>
    </row>
    <row r="79" spans="1:10" s="1" customFormat="1" ht="16" thickBot="1">
      <c r="A79" s="52" t="s">
        <v>278</v>
      </c>
      <c r="B79" s="27" t="s">
        <v>339</v>
      </c>
      <c r="C79" s="76" t="s">
        <v>151</v>
      </c>
      <c r="D79" s="47">
        <f>_xlfn.NUMBERVALUE(IFERROR(VLOOKUP(TEXT(A79,"#"),'EXCEL SMX'!B:I,8,0),0))</f>
        <v>12</v>
      </c>
      <c r="E79" s="48">
        <f>_xlfn.NUMBERVALUE(VLOOKUP(A79,'FINAL BODEGA'!A:D,4,0))</f>
        <v>5</v>
      </c>
      <c r="F79" s="49">
        <f t="shared" si="6"/>
        <v>60</v>
      </c>
      <c r="G79" s="27">
        <f>IFERROR(_xlfn.NUMBERVALUE(SUBSTITUTE(VLOOKUP(TEXT(A79,"#"),'EXCEL SMX'!B:Q,9,0),",",".")),"0")*F79</f>
        <v>114</v>
      </c>
      <c r="H79" s="27">
        <f>IFERROR(_xlfn.NUMBERVALUE(SUBSTITUTE(VLOOKUP(TEXT(A79,"#"),'EXCEL SMX'!B:Q,16,0),",","."))/100,"0")*G79</f>
        <v>0</v>
      </c>
      <c r="I79" s="38">
        <f t="shared" si="7"/>
        <v>114</v>
      </c>
      <c r="J79" s="50"/>
    </row>
    <row r="80" spans="1:10" s="1" customFormat="1" ht="16" thickBot="1">
      <c r="A80" s="52" t="s">
        <v>277</v>
      </c>
      <c r="B80" s="27" t="s">
        <v>339</v>
      </c>
      <c r="C80" s="80" t="s">
        <v>152</v>
      </c>
      <c r="D80" s="77">
        <f>_xlfn.NUMBERVALUE(IFERROR(VLOOKUP(TEXT(A80,"#"),'EXCEL SMX'!B:I,8,0),0))</f>
        <v>14</v>
      </c>
      <c r="E80" s="78">
        <f>_xlfn.NUMBERVALUE(VLOOKUP(A80,'FINAL BODEGA'!A:D,4,0))</f>
        <v>2</v>
      </c>
      <c r="F80" s="79">
        <f t="shared" si="6"/>
        <v>28</v>
      </c>
      <c r="G80" s="27">
        <f>IFERROR(_xlfn.NUMBERVALUE(SUBSTITUTE(VLOOKUP(TEXT(A80,"#"),'EXCEL SMX'!B:Q,9,0),",",".")),"0")*F80</f>
        <v>98</v>
      </c>
      <c r="H80" s="27">
        <f>IFERROR(_xlfn.NUMBERVALUE(SUBSTITUTE(VLOOKUP(TEXT(A80,"#"),'EXCEL SMX'!B:Q,16,0),",","."))/100,"0")*G80</f>
        <v>0</v>
      </c>
      <c r="I80" s="39">
        <f t="shared" si="7"/>
        <v>98</v>
      </c>
      <c r="J80" s="50"/>
    </row>
    <row r="81" spans="1:10" s="1" customFormat="1" ht="16" thickBot="1">
      <c r="A81" s="52" t="s">
        <v>281</v>
      </c>
      <c r="B81" s="27" t="s">
        <v>339</v>
      </c>
      <c r="C81" s="80" t="s">
        <v>148</v>
      </c>
      <c r="D81" s="49">
        <f>_xlfn.NUMBERVALUE(IFERROR(VLOOKUP(TEXT(A81,"#"),'EXCEL SMX'!B:I,8,0),0))</f>
        <v>12</v>
      </c>
      <c r="E81" s="49">
        <f>_xlfn.NUMBERVALUE(VLOOKUP(A81,'FINAL BODEGA'!A:D,4,0))</f>
        <v>15</v>
      </c>
      <c r="F81" s="49">
        <f t="shared" si="6"/>
        <v>180</v>
      </c>
      <c r="G81" s="27">
        <f>IFERROR(_xlfn.NUMBERVALUE(SUBSTITUTE(VLOOKUP(TEXT(A81,"#"),'EXCEL SMX'!B:Q,9,0),",",".")),"0")*F81</f>
        <v>333</v>
      </c>
      <c r="H81" s="27">
        <f>IFERROR(_xlfn.NUMBERVALUE(SUBSTITUTE(VLOOKUP(TEXT(A81,"#"),'EXCEL SMX'!B:Q,16,0),",","."))/100,"0")*G81</f>
        <v>66.600000000000009</v>
      </c>
      <c r="I81" s="81">
        <f t="shared" si="7"/>
        <v>266.39999999999998</v>
      </c>
      <c r="J81" s="50"/>
    </row>
    <row r="82" spans="1:10" s="1" customFormat="1" ht="16" thickBot="1">
      <c r="A82" s="52" t="s">
        <v>279</v>
      </c>
      <c r="B82" s="27" t="s">
        <v>339</v>
      </c>
      <c r="C82" s="80" t="s">
        <v>149</v>
      </c>
      <c r="D82" s="49">
        <f>_xlfn.NUMBERVALUE(IFERROR(VLOOKUP(TEXT(A82,"#"),'EXCEL SMX'!B:I,8,0),0))</f>
        <v>14</v>
      </c>
      <c r="E82" s="49">
        <f>_xlfn.NUMBERVALUE(VLOOKUP(A82,'FINAL BODEGA'!A:D,4,0))</f>
        <v>5</v>
      </c>
      <c r="F82" s="49">
        <f t="shared" si="6"/>
        <v>70</v>
      </c>
      <c r="G82" s="27">
        <f>IFERROR(_xlfn.NUMBERVALUE(SUBSTITUTE(VLOOKUP(TEXT(A82,"#"),'EXCEL SMX'!B:Q,9,0),",",".")),"0")*F82</f>
        <v>232.39999999999998</v>
      </c>
      <c r="H82" s="27">
        <f>IFERROR(_xlfn.NUMBERVALUE(SUBSTITUTE(VLOOKUP(TEXT(A82,"#"),'EXCEL SMX'!B:Q,16,0),",","."))/100,"0")*G82</f>
        <v>0</v>
      </c>
      <c r="I82" s="81">
        <f t="shared" si="7"/>
        <v>232.39999999999998</v>
      </c>
      <c r="J82" s="50"/>
    </row>
    <row r="83" spans="1:10" s="1" customFormat="1" ht="17" thickBot="1">
      <c r="A83" s="67">
        <v>7861042572237</v>
      </c>
      <c r="B83" s="27"/>
      <c r="C83" s="82" t="s">
        <v>387</v>
      </c>
      <c r="D83" s="49">
        <f>_xlfn.NUMBERVALUE(IFERROR(VLOOKUP(TEXT(A83,"#"),'EXCEL SMX'!B:I,8,0),0))</f>
        <v>12</v>
      </c>
      <c r="E83" s="49">
        <f>_xlfn.NUMBERVALUE(VLOOKUP(A83,'FINAL BODEGA'!A:D,4,0))</f>
        <v>21</v>
      </c>
      <c r="F83" s="49">
        <f t="shared" ref="F83:F96" si="8">D83*E83</f>
        <v>252</v>
      </c>
      <c r="G83" s="27">
        <f>IFERROR(_xlfn.NUMBERVALUE(SUBSTITUTE(VLOOKUP(TEXT(A83,"#"),'EXCEL SMX'!B:Q,9,0),",",".")),"0")*F83</f>
        <v>655.20000000000005</v>
      </c>
      <c r="H83" s="27">
        <f>IFERROR(_xlfn.NUMBERVALUE(SUBSTITUTE(VLOOKUP(TEXT(A83,"#"),'EXCEL SMX'!B:Q,16,0),",","."))/100,"0")*G83</f>
        <v>0</v>
      </c>
      <c r="I83" s="81">
        <f t="shared" ref="I83:I96" si="9">G83-H83</f>
        <v>655.20000000000005</v>
      </c>
      <c r="J83" s="50"/>
    </row>
    <row r="84" spans="1:10" s="1" customFormat="1" ht="17" thickBot="1">
      <c r="A84" s="67">
        <v>7861042572220</v>
      </c>
      <c r="B84" s="27"/>
      <c r="C84" s="82" t="s">
        <v>388</v>
      </c>
      <c r="D84" s="49">
        <f>_xlfn.NUMBERVALUE(IFERROR(VLOOKUP(TEXT(A84,"#"),'EXCEL SMX'!B:I,8,0),0))</f>
        <v>12</v>
      </c>
      <c r="E84" s="49">
        <f>_xlfn.NUMBERVALUE(VLOOKUP(A84,'FINAL BODEGA'!A:D,4,0))</f>
        <v>28</v>
      </c>
      <c r="F84" s="49">
        <f t="shared" si="8"/>
        <v>336</v>
      </c>
      <c r="G84" s="27">
        <f>IFERROR(_xlfn.NUMBERVALUE(SUBSTITUTE(VLOOKUP(TEXT(A84,"#"),'EXCEL SMX'!B:Q,9,0),",",".")),"0")*F84</f>
        <v>470.4</v>
      </c>
      <c r="H84" s="27">
        <f>IFERROR(_xlfn.NUMBERVALUE(SUBSTITUTE(VLOOKUP(TEXT(A84,"#"),'EXCEL SMX'!B:Q,16,0),",","."))/100,"0")*G84</f>
        <v>0</v>
      </c>
      <c r="I84" s="81">
        <f t="shared" si="9"/>
        <v>470.4</v>
      </c>
      <c r="J84" s="50"/>
    </row>
    <row r="85" spans="1:10" s="1" customFormat="1" ht="17" thickBot="1">
      <c r="A85" s="67">
        <v>7861042572688</v>
      </c>
      <c r="B85" s="27"/>
      <c r="C85" s="82" t="s">
        <v>389</v>
      </c>
      <c r="D85" s="49">
        <f>_xlfn.NUMBERVALUE(IFERROR(VLOOKUP(TEXT(A85,"#"),'EXCEL SMX'!B:I,8,0),0))</f>
        <v>12</v>
      </c>
      <c r="E85" s="49">
        <f>_xlfn.NUMBERVALUE(VLOOKUP(A85,'FINAL BODEGA'!A:D,4,0))</f>
        <v>45</v>
      </c>
      <c r="F85" s="49">
        <f t="shared" si="8"/>
        <v>540</v>
      </c>
      <c r="G85" s="27">
        <f>IFERROR(_xlfn.NUMBERVALUE(SUBSTITUTE(VLOOKUP(TEXT(A85,"#"),'EXCEL SMX'!B:Q,9,0),",",".")),"0")*F85</f>
        <v>891</v>
      </c>
      <c r="H85" s="27">
        <f>IFERROR(_xlfn.NUMBERVALUE(SUBSTITUTE(VLOOKUP(TEXT(A85,"#"),'EXCEL SMX'!B:Q,16,0),",","."))/100,"0")*G85</f>
        <v>0</v>
      </c>
      <c r="I85" s="81">
        <f t="shared" si="9"/>
        <v>891</v>
      </c>
      <c r="J85" s="50"/>
    </row>
    <row r="86" spans="1:10" s="1" customFormat="1" ht="17" thickBot="1">
      <c r="A86" s="67">
        <v>7861042570141</v>
      </c>
      <c r="B86" s="27"/>
      <c r="C86" s="82" t="s">
        <v>390</v>
      </c>
      <c r="D86" s="49">
        <f>_xlfn.NUMBERVALUE(IFERROR(VLOOKUP(TEXT(A86,"#"),'EXCEL SMX'!B:I,8,0),0))</f>
        <v>12</v>
      </c>
      <c r="E86" s="49">
        <f>_xlfn.NUMBERVALUE(VLOOKUP(A86,'FINAL BODEGA'!A:D,4,0))</f>
        <v>37</v>
      </c>
      <c r="F86" s="49">
        <f t="shared" si="8"/>
        <v>444</v>
      </c>
      <c r="G86" s="27">
        <f>IFERROR(_xlfn.NUMBERVALUE(SUBSTITUTE(VLOOKUP(TEXT(A86,"#"),'EXCEL SMX'!B:Q,9,0),",",".")),"0")*F86</f>
        <v>732.59999999999991</v>
      </c>
      <c r="H86" s="27">
        <f>IFERROR(_xlfn.NUMBERVALUE(SUBSTITUTE(VLOOKUP(TEXT(A86,"#"),'EXCEL SMX'!B:Q,16,0),",","."))/100,"0")*G86</f>
        <v>0</v>
      </c>
      <c r="I86" s="81">
        <f t="shared" si="9"/>
        <v>732.59999999999991</v>
      </c>
      <c r="J86" s="50"/>
    </row>
    <row r="87" spans="1:10" s="1" customFormat="1" ht="17" thickBot="1">
      <c r="A87" s="67">
        <v>7861042572244</v>
      </c>
      <c r="B87" s="27"/>
      <c r="C87" s="82" t="s">
        <v>391</v>
      </c>
      <c r="D87" s="49">
        <f>_xlfn.NUMBERVALUE(IFERROR(VLOOKUP(TEXT(A87,"#"),'EXCEL SMX'!B:I,8,0),0))</f>
        <v>4</v>
      </c>
      <c r="E87" s="49">
        <f>_xlfn.NUMBERVALUE(VLOOKUP(A87,'FINAL BODEGA'!A:D,4,0))</f>
        <v>1</v>
      </c>
      <c r="F87" s="49">
        <f t="shared" si="8"/>
        <v>4</v>
      </c>
      <c r="G87" s="27">
        <f>IFERROR(_xlfn.NUMBERVALUE(SUBSTITUTE(VLOOKUP(TEXT(A87,"#"),'EXCEL SMX'!B:Q,9,0),",",".")),"0")*F87</f>
        <v>35.799999999999997</v>
      </c>
      <c r="H87" s="27">
        <f>IFERROR(_xlfn.NUMBERVALUE(SUBSTITUTE(VLOOKUP(TEXT(A87,"#"),'EXCEL SMX'!B:Q,16,0),",","."))/100,"0")*G87</f>
        <v>0</v>
      </c>
      <c r="I87" s="81">
        <f t="shared" si="9"/>
        <v>35.799999999999997</v>
      </c>
      <c r="J87" s="50"/>
    </row>
    <row r="88" spans="1:10" s="1" customFormat="1" ht="17" thickBot="1">
      <c r="A88" s="67">
        <v>7861042571780</v>
      </c>
      <c r="B88" s="27"/>
      <c r="C88" s="82" t="s">
        <v>392</v>
      </c>
      <c r="D88" s="49">
        <f>_xlfn.NUMBERVALUE(IFERROR(VLOOKUP(TEXT(A88,"#"),'EXCEL SMX'!B:I,8,0),0))</f>
        <v>12</v>
      </c>
      <c r="E88" s="49">
        <f>_xlfn.NUMBERVALUE(VLOOKUP(A88,'FINAL BODEGA'!A:D,4,0))</f>
        <v>13</v>
      </c>
      <c r="F88" s="49">
        <f t="shared" si="8"/>
        <v>156</v>
      </c>
      <c r="G88" s="27">
        <f>IFERROR(_xlfn.NUMBERVALUE(SUBSTITUTE(VLOOKUP(TEXT(A88,"#"),'EXCEL SMX'!B:Q,9,0),",",".")),"0")*F88</f>
        <v>129.47999999999999</v>
      </c>
      <c r="H88" s="27">
        <f>IFERROR(_xlfn.NUMBERVALUE(SUBSTITUTE(VLOOKUP(TEXT(A88,"#"),'EXCEL SMX'!B:Q,16,0),",","."))/100,"0")*G88</f>
        <v>0</v>
      </c>
      <c r="I88" s="81">
        <f t="shared" si="9"/>
        <v>129.47999999999999</v>
      </c>
      <c r="J88" s="50"/>
    </row>
    <row r="89" spans="1:10" s="1" customFormat="1" ht="17" thickBot="1">
      <c r="A89" s="86">
        <v>7861042574637</v>
      </c>
      <c r="B89" s="95"/>
      <c r="C89" s="94" t="s">
        <v>402</v>
      </c>
      <c r="D89" s="47">
        <f>_xlfn.NUMBERVALUE(IFERROR(VLOOKUP(TEXT(A89,"#"),'EXCEL SMX'!B:I,8,0),0))</f>
        <v>12</v>
      </c>
      <c r="E89" s="48">
        <f>_xlfn.NUMBERVALUE(VLOOKUP(A89,'FINAL BODEGA'!A:D,4,0))</f>
        <v>108</v>
      </c>
      <c r="F89" s="49">
        <f t="shared" ref="F89:F91" si="10">D89*E89</f>
        <v>1296</v>
      </c>
      <c r="G89" s="28">
        <f>IFERROR(_xlfn.NUMBERVALUE(SUBSTITUTE(VLOOKUP(TEXT(A89,"#"),'EXCEL SMX'!B:Q,9,0),",",".")),"0")*F89</f>
        <v>596.16000000000008</v>
      </c>
      <c r="H89" s="32">
        <f>IFERROR(_xlfn.NUMBERVALUE(SUBSTITUTE(VLOOKUP(TEXT(A89,"#"),'EXCEL SMX'!B:Q,16,0),",","."))/100,"0")*G89</f>
        <v>0</v>
      </c>
      <c r="I89" s="38">
        <f t="shared" ref="I89:I91" si="11">G89-H89</f>
        <v>596.16000000000008</v>
      </c>
      <c r="J89" s="50" t="s">
        <v>316</v>
      </c>
    </row>
    <row r="90" spans="1:10" s="1" customFormat="1" ht="17" thickBot="1">
      <c r="A90" s="86">
        <v>7861042574644</v>
      </c>
      <c r="B90" s="95"/>
      <c r="C90" s="94" t="s">
        <v>403</v>
      </c>
      <c r="D90" s="47">
        <f>_xlfn.NUMBERVALUE(IFERROR(VLOOKUP(TEXT(A90,"#"),'EXCEL SMX'!B:I,8,0),0))</f>
        <v>12</v>
      </c>
      <c r="E90" s="48">
        <f>_xlfn.NUMBERVALUE(VLOOKUP(A90,'FINAL BODEGA'!A:D,4,0))</f>
        <v>82</v>
      </c>
      <c r="F90" s="49">
        <f t="shared" si="10"/>
        <v>984</v>
      </c>
      <c r="G90" s="28">
        <f>IFERROR(_xlfn.NUMBERVALUE(SUBSTITUTE(VLOOKUP(TEXT(A90,"#"),'EXCEL SMX'!B:Q,9,0),",",".")),"0")*F90</f>
        <v>1013.52</v>
      </c>
      <c r="H90" s="32">
        <f>IFERROR(_xlfn.NUMBERVALUE(SUBSTITUTE(VLOOKUP(TEXT(A90,"#"),'EXCEL SMX'!B:Q,16,0),",","."))/100,"0")*G90</f>
        <v>0</v>
      </c>
      <c r="I90" s="38">
        <f t="shared" si="11"/>
        <v>1013.52</v>
      </c>
      <c r="J90" s="50" t="s">
        <v>316</v>
      </c>
    </row>
    <row r="91" spans="1:10" s="1" customFormat="1" ht="17" thickBot="1">
      <c r="A91" s="86">
        <v>7861042574651</v>
      </c>
      <c r="B91" s="95"/>
      <c r="C91" s="94" t="s">
        <v>404</v>
      </c>
      <c r="D91" s="47">
        <f>_xlfn.NUMBERVALUE(IFERROR(VLOOKUP(TEXT(A91,"#"),'EXCEL SMX'!B:I,8,0),0))</f>
        <v>12</v>
      </c>
      <c r="E91" s="48">
        <f>_xlfn.NUMBERVALUE(VLOOKUP(A91,'FINAL BODEGA'!A:D,4,0))</f>
        <v>61</v>
      </c>
      <c r="F91" s="49">
        <f t="shared" si="10"/>
        <v>732</v>
      </c>
      <c r="G91" s="28">
        <f>IFERROR(_xlfn.NUMBERVALUE(SUBSTITUTE(VLOOKUP(TEXT(A91,"#"),'EXCEL SMX'!B:Q,9,0),",",".")),"0")*F91</f>
        <v>1500.6</v>
      </c>
      <c r="H91" s="32">
        <f>IFERROR(_xlfn.NUMBERVALUE(SUBSTITUTE(VLOOKUP(TEXT(A91,"#"),'EXCEL SMX'!B:Q,16,0),",","."))/100,"0")*G91</f>
        <v>0</v>
      </c>
      <c r="I91" s="38">
        <f t="shared" si="11"/>
        <v>1500.6</v>
      </c>
      <c r="J91" s="50" t="s">
        <v>316</v>
      </c>
    </row>
    <row r="92" spans="1:10" s="1" customFormat="1" ht="17" thickBot="1">
      <c r="A92" s="67">
        <v>7861033003047</v>
      </c>
      <c r="B92" s="27"/>
      <c r="C92" s="83" t="s">
        <v>393</v>
      </c>
      <c r="D92" s="49">
        <f>_xlfn.NUMBERVALUE(IFERROR(VLOOKUP(TEXT(A92,"#"),'EXCEL SMX'!B:I,8,0),0))</f>
        <v>0</v>
      </c>
      <c r="E92" s="49">
        <f>_xlfn.NUMBERVALUE(VLOOKUP(A92,'FINAL BODEGA'!A:D,4,0))</f>
        <v>0</v>
      </c>
      <c r="F92" s="49">
        <f t="shared" si="8"/>
        <v>0</v>
      </c>
      <c r="G92" s="27">
        <f>IFERROR(_xlfn.NUMBERVALUE(SUBSTITUTE(VLOOKUP(TEXT(A92,"#"),'EXCEL SMX'!B:Q,9,0),",",".")),"0")*F92</f>
        <v>0</v>
      </c>
      <c r="H92" s="27">
        <f>IFERROR(_xlfn.NUMBERVALUE(SUBSTITUTE(VLOOKUP(TEXT(A92,"#"),'EXCEL SMX'!B:Q,16,0),",","."))/100,"0")*G92</f>
        <v>0</v>
      </c>
      <c r="I92" s="81">
        <f t="shared" si="9"/>
        <v>0</v>
      </c>
      <c r="J92" s="50"/>
    </row>
    <row r="93" spans="1:10" s="1" customFormat="1" ht="17" thickBot="1">
      <c r="A93" s="67">
        <v>7861033003139</v>
      </c>
      <c r="B93" s="27"/>
      <c r="C93" s="83" t="s">
        <v>396</v>
      </c>
      <c r="D93" s="49">
        <f>_xlfn.NUMBERVALUE(IFERROR(VLOOKUP(TEXT(A93,"#"),'EXCEL SMX'!B:I,8,0),0))</f>
        <v>0</v>
      </c>
      <c r="E93" s="49">
        <f>_xlfn.NUMBERVALUE(VLOOKUP(A93,'FINAL BODEGA'!A:D,4,0))</f>
        <v>0</v>
      </c>
      <c r="F93" s="49">
        <f t="shared" si="8"/>
        <v>0</v>
      </c>
      <c r="G93" s="27">
        <f>IFERROR(_xlfn.NUMBERVALUE(SUBSTITUTE(VLOOKUP(TEXT(A93,"#"),'EXCEL SMX'!B:Q,9,0),",",".")),"0")*F93</f>
        <v>0</v>
      </c>
      <c r="H93" s="27">
        <f>IFERROR(_xlfn.NUMBERVALUE(SUBSTITUTE(VLOOKUP(TEXT(A93,"#"),'EXCEL SMX'!B:Q,16,0),",","."))/100,"0")*G93</f>
        <v>0</v>
      </c>
      <c r="I93" s="81">
        <f t="shared" si="9"/>
        <v>0</v>
      </c>
      <c r="J93" s="50"/>
    </row>
    <row r="94" spans="1:10" s="1" customFormat="1" ht="17" thickBot="1">
      <c r="A94" s="67">
        <v>7861033003146</v>
      </c>
      <c r="B94" s="27"/>
      <c r="C94" s="83" t="s">
        <v>395</v>
      </c>
      <c r="D94" s="49">
        <f>_xlfn.NUMBERVALUE(IFERROR(VLOOKUP(TEXT(A94,"#"),'EXCEL SMX'!B:I,8,0),0))</f>
        <v>0</v>
      </c>
      <c r="E94" s="49">
        <f>_xlfn.NUMBERVALUE(VLOOKUP(A94,'FINAL BODEGA'!A:D,4,0))</f>
        <v>0</v>
      </c>
      <c r="F94" s="49">
        <f t="shared" si="8"/>
        <v>0</v>
      </c>
      <c r="G94" s="27">
        <f>IFERROR(_xlfn.NUMBERVALUE(SUBSTITUTE(VLOOKUP(TEXT(A94,"#"),'EXCEL SMX'!B:Q,9,0),",",".")),"0")*F94</f>
        <v>0</v>
      </c>
      <c r="H94" s="27">
        <f>IFERROR(_xlfn.NUMBERVALUE(SUBSTITUTE(VLOOKUP(TEXT(A94,"#"),'EXCEL SMX'!B:Q,16,0),",","."))/100,"0")*G94</f>
        <v>0</v>
      </c>
      <c r="I94" s="81">
        <f t="shared" si="9"/>
        <v>0</v>
      </c>
      <c r="J94" s="50"/>
    </row>
    <row r="95" spans="1:10" s="1" customFormat="1" ht="17" thickBot="1">
      <c r="A95" s="67">
        <v>7861033003016</v>
      </c>
      <c r="B95" s="27"/>
      <c r="C95" s="83" t="s">
        <v>394</v>
      </c>
      <c r="D95" s="49">
        <f>_xlfn.NUMBERVALUE(IFERROR(VLOOKUP(TEXT(A95,"#"),'EXCEL SMX'!B:I,8,0),0))</f>
        <v>0</v>
      </c>
      <c r="E95" s="49">
        <f>_xlfn.NUMBERVALUE(VLOOKUP(A95,'FINAL BODEGA'!A:D,4,0))</f>
        <v>0</v>
      </c>
      <c r="F95" s="49">
        <f t="shared" si="8"/>
        <v>0</v>
      </c>
      <c r="G95" s="27">
        <f>IFERROR(_xlfn.NUMBERVALUE(SUBSTITUTE(VLOOKUP(TEXT(A95,"#"),'EXCEL SMX'!B:Q,9,0),",",".")),"0")*F95</f>
        <v>0</v>
      </c>
      <c r="H95" s="27">
        <f>IFERROR(_xlfn.NUMBERVALUE(SUBSTITUTE(VLOOKUP(TEXT(A95,"#"),'EXCEL SMX'!B:Q,16,0),",","."))/100,"0")*G95</f>
        <v>0</v>
      </c>
      <c r="I95" s="81">
        <f t="shared" si="9"/>
        <v>0</v>
      </c>
      <c r="J95" s="50"/>
    </row>
    <row r="96" spans="1:10" s="1" customFormat="1" ht="16">
      <c r="A96" s="71">
        <v>7861033003061</v>
      </c>
      <c r="B96" s="27"/>
      <c r="C96" s="83" t="s">
        <v>397</v>
      </c>
      <c r="D96" s="49">
        <f>_xlfn.NUMBERVALUE(IFERROR(VLOOKUP(TEXT(A96,"#"),'EXCEL SMX'!B:I,8,0),0))</f>
        <v>0</v>
      </c>
      <c r="E96" s="49">
        <f>_xlfn.NUMBERVALUE(VLOOKUP(A96,'FINAL BODEGA'!A:D,4,0))</f>
        <v>0</v>
      </c>
      <c r="F96" s="49">
        <f t="shared" si="8"/>
        <v>0</v>
      </c>
      <c r="G96" s="27">
        <f>IFERROR(_xlfn.NUMBERVALUE(SUBSTITUTE(VLOOKUP(TEXT(A96,"#"),'EXCEL SMX'!B:Q,9,0),",",".")),"0")*F96</f>
        <v>0</v>
      </c>
      <c r="H96" s="27">
        <f>IFERROR(_xlfn.NUMBERVALUE(SUBSTITUTE(VLOOKUP(TEXT(A96,"#"),'EXCEL SMX'!B:Q,16,0),",","."))/100,"0")*G96</f>
        <v>0</v>
      </c>
      <c r="I96" s="81">
        <f t="shared" si="9"/>
        <v>0</v>
      </c>
      <c r="J96" s="50"/>
    </row>
    <row r="97" spans="1:10">
      <c r="A97" s="27" t="s">
        <v>162</v>
      </c>
      <c r="B97" s="27" t="s">
        <v>340</v>
      </c>
      <c r="C97" s="68" t="s">
        <v>296</v>
      </c>
      <c r="D97" s="41">
        <f>_xlfn.NUMBERVALUE(IFERROR(VLOOKUP(TEXT(A97,"#"),'EXCEL SMX'!B:I,8,0),0))</f>
        <v>0</v>
      </c>
      <c r="E97" s="41">
        <f>_xlfn.NUMBERVALUE(VLOOKUP(A97,'FINAL BODEGA'!A:D,4,0))</f>
        <v>0</v>
      </c>
      <c r="F97" s="41">
        <f t="shared" si="6"/>
        <v>0</v>
      </c>
      <c r="G97" s="27">
        <f>IFERROR(_xlfn.NUMBERVALUE(SUBSTITUTE(VLOOKUP(TEXT(A97,"#"),'EXCEL SMX'!B:Q,9,0),",",".")),"0")*F97</f>
        <v>0</v>
      </c>
      <c r="H97" s="27">
        <f>IFERROR(_xlfn.NUMBERVALUE(SUBSTITUTE(VLOOKUP(TEXT(A97,"#"),'EXCEL SMX'!B:Q,16,0),",","."))/100,"0")*G97</f>
        <v>0</v>
      </c>
      <c r="I97" s="38">
        <f t="shared" si="7"/>
        <v>0</v>
      </c>
      <c r="J97" s="32"/>
    </row>
    <row r="98" spans="1:10">
      <c r="A98" s="27" t="s">
        <v>161</v>
      </c>
      <c r="B98" s="27" t="s">
        <v>340</v>
      </c>
      <c r="C98" s="68" t="s">
        <v>295</v>
      </c>
      <c r="D98" s="41">
        <f>_xlfn.NUMBERVALUE(IFERROR(VLOOKUP(TEXT(A98,"#"),'EXCEL SMX'!B:I,8,0),0))</f>
        <v>0</v>
      </c>
      <c r="E98" s="41">
        <f>_xlfn.NUMBERVALUE(VLOOKUP(A98,'FINAL BODEGA'!A:D,4,0))</f>
        <v>0</v>
      </c>
      <c r="F98" s="41">
        <f t="shared" si="6"/>
        <v>0</v>
      </c>
      <c r="G98" s="27">
        <f>IFERROR(_xlfn.NUMBERVALUE(SUBSTITUTE(VLOOKUP(TEXT(A98,"#"),'EXCEL SMX'!B:Q,9,0),",",".")),"0")*F98</f>
        <v>0</v>
      </c>
      <c r="H98" s="27">
        <f>IFERROR(_xlfn.NUMBERVALUE(SUBSTITUTE(VLOOKUP(TEXT(A98,"#"),'EXCEL SMX'!B:Q,16,0),",","."))/100,"0")*G98</f>
        <v>0</v>
      </c>
      <c r="I98" s="38">
        <f t="shared" si="7"/>
        <v>0</v>
      </c>
      <c r="J98" s="32"/>
    </row>
    <row r="99" spans="1:10">
      <c r="A99" s="27" t="s">
        <v>165</v>
      </c>
      <c r="B99" s="27" t="s">
        <v>340</v>
      </c>
      <c r="C99" s="68" t="s">
        <v>347</v>
      </c>
      <c r="D99" s="41">
        <f>_xlfn.NUMBERVALUE(IFERROR(VLOOKUP(TEXT(A99,"#"),'EXCEL SMX'!B:I,8,0),0))</f>
        <v>0</v>
      </c>
      <c r="E99" s="41">
        <f>_xlfn.NUMBERVALUE(VLOOKUP(A99,'FINAL BODEGA'!A:D,4,0))</f>
        <v>0</v>
      </c>
      <c r="F99" s="41">
        <f t="shared" si="6"/>
        <v>0</v>
      </c>
      <c r="G99" s="27">
        <f>IFERROR(_xlfn.NUMBERVALUE(SUBSTITUTE(VLOOKUP(TEXT(A99,"#"),'EXCEL SMX'!B:Q,9,0),",",".")),"0")*F99</f>
        <v>0</v>
      </c>
      <c r="H99" s="27">
        <f>IFERROR(_xlfn.NUMBERVALUE(SUBSTITUTE(VLOOKUP(TEXT(A99,"#"),'EXCEL SMX'!B:Q,16,0),",","."))/100,"0")*G99</f>
        <v>0</v>
      </c>
      <c r="I99" s="38">
        <f t="shared" si="7"/>
        <v>0</v>
      </c>
      <c r="J99" s="32"/>
    </row>
    <row r="100" spans="1:10">
      <c r="A100" s="27" t="s">
        <v>164</v>
      </c>
      <c r="B100" s="27" t="s">
        <v>340</v>
      </c>
      <c r="C100" s="68" t="s">
        <v>348</v>
      </c>
      <c r="D100" s="41">
        <f>_xlfn.NUMBERVALUE(IFERROR(VLOOKUP(TEXT(A100,"#"),'EXCEL SMX'!B:I,8,0),0))</f>
        <v>0</v>
      </c>
      <c r="E100" s="41">
        <f>_xlfn.NUMBERVALUE(VLOOKUP(A100,'FINAL BODEGA'!A:D,4,0))</f>
        <v>0</v>
      </c>
      <c r="F100" s="41">
        <f t="shared" si="6"/>
        <v>0</v>
      </c>
      <c r="G100" s="27">
        <f>IFERROR(_xlfn.NUMBERVALUE(SUBSTITUTE(VLOOKUP(TEXT(A100,"#"),'EXCEL SMX'!B:Q,9,0),",",".")),"0")*F100</f>
        <v>0</v>
      </c>
      <c r="H100" s="27">
        <f>IFERROR(_xlfn.NUMBERVALUE(SUBSTITUTE(VLOOKUP(TEXT(A100,"#"),'EXCEL SMX'!B:Q,16,0),",","."))/100,"0")*G100</f>
        <v>0</v>
      </c>
      <c r="I100" s="38">
        <f t="shared" si="7"/>
        <v>0</v>
      </c>
      <c r="J100" s="32"/>
    </row>
    <row r="101" spans="1:10">
      <c r="A101" s="27" t="s">
        <v>171</v>
      </c>
      <c r="B101" s="27" t="s">
        <v>340</v>
      </c>
      <c r="C101" s="27" t="s">
        <v>349</v>
      </c>
      <c r="D101" s="41">
        <f>_xlfn.NUMBERVALUE(IFERROR(VLOOKUP(TEXT(A101,"#"),'EXCEL SMX'!B:I,8,0),0))</f>
        <v>0</v>
      </c>
      <c r="E101" s="41">
        <f>_xlfn.NUMBERVALUE(VLOOKUP(A101,'FINAL BODEGA'!A:D,4,0))</f>
        <v>0</v>
      </c>
      <c r="F101" s="41">
        <f t="shared" si="6"/>
        <v>0</v>
      </c>
      <c r="G101" s="27">
        <f>IFERROR(_xlfn.NUMBERVALUE(SUBSTITUTE(VLOOKUP(TEXT(A101,"#"),'EXCEL SMX'!B:Q,9,0),",",".")),"0")*F101</f>
        <v>0</v>
      </c>
      <c r="H101" s="27">
        <f>IFERROR(_xlfn.NUMBERVALUE(SUBSTITUTE(VLOOKUP(TEXT(A101,"#"),'EXCEL SMX'!B:Q,16,0),",","."))/100,"0")*G101</f>
        <v>0</v>
      </c>
      <c r="I101" s="38">
        <f t="shared" si="7"/>
        <v>0</v>
      </c>
      <c r="J101" s="32"/>
    </row>
    <row r="102" spans="1:10">
      <c r="A102" s="27" t="s">
        <v>169</v>
      </c>
      <c r="B102" s="27" t="s">
        <v>340</v>
      </c>
      <c r="C102" s="27" t="s">
        <v>350</v>
      </c>
      <c r="D102" s="41">
        <f>_xlfn.NUMBERVALUE(IFERROR(VLOOKUP(TEXT(A102,"#"),'EXCEL SMX'!B:I,8,0),0))</f>
        <v>0</v>
      </c>
      <c r="E102" s="41">
        <f>_xlfn.NUMBERVALUE(VLOOKUP(A102,'FINAL BODEGA'!A:D,4,0))</f>
        <v>0</v>
      </c>
      <c r="F102" s="41">
        <f t="shared" si="6"/>
        <v>0</v>
      </c>
      <c r="G102" s="27">
        <f>IFERROR(_xlfn.NUMBERVALUE(SUBSTITUTE(VLOOKUP(TEXT(A102,"#"),'EXCEL SMX'!B:Q,9,0),",",".")),"0")*F102</f>
        <v>0</v>
      </c>
      <c r="H102" s="27">
        <f>IFERROR(_xlfn.NUMBERVALUE(SUBSTITUTE(VLOOKUP(TEXT(A102,"#"),'EXCEL SMX'!B:Q,16,0),",","."))/100,"0")*G102</f>
        <v>0</v>
      </c>
      <c r="I102" s="38">
        <f t="shared" si="7"/>
        <v>0</v>
      </c>
      <c r="J102" s="32"/>
    </row>
    <row r="103" spans="1:10">
      <c r="A103" s="27" t="s">
        <v>170</v>
      </c>
      <c r="B103" s="27" t="s">
        <v>340</v>
      </c>
      <c r="C103" s="27" t="s">
        <v>351</v>
      </c>
      <c r="D103" s="41">
        <f>_xlfn.NUMBERVALUE(IFERROR(VLOOKUP(TEXT(A103,"#"),'EXCEL SMX'!B:I,8,0),0))</f>
        <v>0</v>
      </c>
      <c r="E103" s="41">
        <f>_xlfn.NUMBERVALUE(VLOOKUP(A103,'FINAL BODEGA'!A:D,4,0))</f>
        <v>0</v>
      </c>
      <c r="F103" s="41">
        <f t="shared" si="6"/>
        <v>0</v>
      </c>
      <c r="G103" s="27">
        <f>IFERROR(_xlfn.NUMBERVALUE(SUBSTITUTE(VLOOKUP(TEXT(A103,"#"),'EXCEL SMX'!B:Q,9,0),",",".")),"0")*F103</f>
        <v>0</v>
      </c>
      <c r="H103" s="27">
        <f>IFERROR(_xlfn.NUMBERVALUE(SUBSTITUTE(VLOOKUP(TEXT(A103,"#"),'EXCEL SMX'!B:Q,16,0),",","."))/100,"0")*G103</f>
        <v>0</v>
      </c>
      <c r="I103" s="38">
        <f t="shared" si="7"/>
        <v>0</v>
      </c>
      <c r="J103" s="32"/>
    </row>
    <row r="104" spans="1:10">
      <c r="A104" s="27" t="s">
        <v>180</v>
      </c>
      <c r="B104" s="27" t="s">
        <v>340</v>
      </c>
      <c r="C104" s="27" t="s">
        <v>352</v>
      </c>
      <c r="D104" s="41">
        <f>_xlfn.NUMBERVALUE(IFERROR(VLOOKUP(TEXT(A104,"#"),'EXCEL SMX'!B:I,8,0),0))</f>
        <v>0</v>
      </c>
      <c r="E104" s="41">
        <f>_xlfn.NUMBERVALUE(VLOOKUP(A104,'FINAL BODEGA'!A:D,4,0))</f>
        <v>0</v>
      </c>
      <c r="F104" s="41">
        <f t="shared" si="6"/>
        <v>0</v>
      </c>
      <c r="G104" s="27">
        <f>IFERROR(_xlfn.NUMBERVALUE(SUBSTITUTE(VLOOKUP(TEXT(A104,"#"),'EXCEL SMX'!B:Q,9,0),",",".")),"0")*F104</f>
        <v>0</v>
      </c>
      <c r="H104" s="27">
        <f>IFERROR(_xlfn.NUMBERVALUE(SUBSTITUTE(VLOOKUP(TEXT(A104,"#"),'EXCEL SMX'!B:Q,16,0),",","."))/100,"0")*G104</f>
        <v>0</v>
      </c>
      <c r="I104" s="38">
        <f t="shared" si="7"/>
        <v>0</v>
      </c>
      <c r="J104" s="32"/>
    </row>
    <row r="105" spans="1:10">
      <c r="A105" s="27" t="s">
        <v>179</v>
      </c>
      <c r="B105" s="27" t="s">
        <v>340</v>
      </c>
      <c r="C105" s="27" t="s">
        <v>353</v>
      </c>
      <c r="D105" s="41">
        <f>_xlfn.NUMBERVALUE(IFERROR(VLOOKUP(TEXT(A105,"#"),'EXCEL SMX'!B:I,8,0),0))</f>
        <v>0</v>
      </c>
      <c r="E105" s="41">
        <f>_xlfn.NUMBERVALUE(VLOOKUP(A105,'FINAL BODEGA'!A:D,4,0))</f>
        <v>0</v>
      </c>
      <c r="F105" s="41">
        <f t="shared" si="6"/>
        <v>0</v>
      </c>
      <c r="G105" s="27">
        <f>IFERROR(_xlfn.NUMBERVALUE(SUBSTITUTE(VLOOKUP(TEXT(A105,"#"),'EXCEL SMX'!B:Q,9,0),",",".")),"0")*F105</f>
        <v>0</v>
      </c>
      <c r="H105" s="27">
        <f>IFERROR(_xlfn.NUMBERVALUE(SUBSTITUTE(VLOOKUP(TEXT(A105,"#"),'EXCEL SMX'!B:Q,16,0),",","."))/100,"0")*G105</f>
        <v>0</v>
      </c>
      <c r="I105" s="38">
        <f t="shared" si="7"/>
        <v>0</v>
      </c>
      <c r="J105" s="32"/>
    </row>
    <row r="106" spans="1:10">
      <c r="A106" s="27" t="s">
        <v>168</v>
      </c>
      <c r="B106" s="27" t="s">
        <v>340</v>
      </c>
      <c r="C106" s="27" t="s">
        <v>299</v>
      </c>
      <c r="D106" s="41">
        <f>_xlfn.NUMBERVALUE(IFERROR(VLOOKUP(TEXT(A106,"#"),'EXCEL SMX'!B:I,8,0),0))</f>
        <v>0</v>
      </c>
      <c r="E106" s="41">
        <f>_xlfn.NUMBERVALUE(VLOOKUP(A106,'FINAL BODEGA'!A:D,4,0))</f>
        <v>0</v>
      </c>
      <c r="F106" s="41">
        <f t="shared" si="6"/>
        <v>0</v>
      </c>
      <c r="G106" s="27">
        <f>IFERROR(_xlfn.NUMBERVALUE(SUBSTITUTE(VLOOKUP(TEXT(A106,"#"),'EXCEL SMX'!B:Q,9,0),",",".")),"0")*F106</f>
        <v>0</v>
      </c>
      <c r="H106" s="27">
        <f>IFERROR(_xlfn.NUMBERVALUE(SUBSTITUTE(VLOOKUP(TEXT(A106,"#"),'EXCEL SMX'!B:Q,16,0),",","."))/100,"0")*G106</f>
        <v>0</v>
      </c>
      <c r="I106" s="38">
        <f t="shared" si="7"/>
        <v>0</v>
      </c>
      <c r="J106" s="32"/>
    </row>
    <row r="107" spans="1:10">
      <c r="A107" s="27" t="s">
        <v>166</v>
      </c>
      <c r="B107" s="27" t="s">
        <v>340</v>
      </c>
      <c r="C107" s="27" t="s">
        <v>297</v>
      </c>
      <c r="D107" s="41">
        <f>_xlfn.NUMBERVALUE(IFERROR(VLOOKUP(TEXT(A107,"#"),'EXCEL SMX'!B:I,8,0),0))</f>
        <v>0</v>
      </c>
      <c r="E107" s="41">
        <f>_xlfn.NUMBERVALUE(VLOOKUP(A107,'FINAL BODEGA'!A:D,4,0))</f>
        <v>0</v>
      </c>
      <c r="F107" s="41">
        <f t="shared" si="6"/>
        <v>0</v>
      </c>
      <c r="G107" s="27">
        <f>IFERROR(_xlfn.NUMBERVALUE(SUBSTITUTE(VLOOKUP(TEXT(A107,"#"),'EXCEL SMX'!B:Q,9,0),",",".")),"0")*F107</f>
        <v>0</v>
      </c>
      <c r="H107" s="27">
        <f>IFERROR(_xlfn.NUMBERVALUE(SUBSTITUTE(VLOOKUP(TEXT(A107,"#"),'EXCEL SMX'!B:Q,16,0),",","."))/100,"0")*G107</f>
        <v>0</v>
      </c>
      <c r="I107" s="38">
        <f t="shared" si="7"/>
        <v>0</v>
      </c>
      <c r="J107" s="32"/>
    </row>
    <row r="108" spans="1:10">
      <c r="A108" s="27" t="s">
        <v>167</v>
      </c>
      <c r="B108" s="27" t="s">
        <v>340</v>
      </c>
      <c r="C108" s="27" t="s">
        <v>298</v>
      </c>
      <c r="D108" s="41">
        <f>_xlfn.NUMBERVALUE(IFERROR(VLOOKUP(TEXT(A108,"#"),'EXCEL SMX'!B:I,8,0),0))</f>
        <v>0</v>
      </c>
      <c r="E108" s="41">
        <f>_xlfn.NUMBERVALUE(VLOOKUP(A108,'FINAL BODEGA'!A:D,4,0))</f>
        <v>0</v>
      </c>
      <c r="F108" s="41">
        <f t="shared" ref="F108:F113" si="12">D108*E108</f>
        <v>0</v>
      </c>
      <c r="G108" s="27">
        <f>IFERROR(_xlfn.NUMBERVALUE(SUBSTITUTE(VLOOKUP(TEXT(A108,"#"),'EXCEL SMX'!B:Q,9,0),",",".")),"0")*F108</f>
        <v>0</v>
      </c>
      <c r="H108" s="27">
        <f>IFERROR(_xlfn.NUMBERVALUE(SUBSTITUTE(VLOOKUP(TEXT(A108,"#"),'EXCEL SMX'!B:Q,16,0),",","."))/100,"0")*G108</f>
        <v>0</v>
      </c>
      <c r="I108" s="38">
        <f t="shared" ref="I108:I113" si="13">G108-H108</f>
        <v>0</v>
      </c>
      <c r="J108" s="32"/>
    </row>
    <row r="109" spans="1:10">
      <c r="A109" s="27" t="s">
        <v>174</v>
      </c>
      <c r="B109" s="27" t="s">
        <v>340</v>
      </c>
      <c r="C109" s="27" t="s">
        <v>302</v>
      </c>
      <c r="D109" s="41">
        <f>_xlfn.NUMBERVALUE(IFERROR(VLOOKUP(TEXT(A109,"#"),'EXCEL SMX'!B:I,8,0),0))</f>
        <v>6</v>
      </c>
      <c r="E109" s="41">
        <f>_xlfn.NUMBERVALUE(VLOOKUP(A109,'FINAL BODEGA'!A:D,4,0))</f>
        <v>8</v>
      </c>
      <c r="F109" s="41">
        <f t="shared" si="12"/>
        <v>48</v>
      </c>
      <c r="G109" s="27">
        <f>IFERROR(_xlfn.NUMBERVALUE(SUBSTITUTE(VLOOKUP(TEXT(A109,"#"),'EXCEL SMX'!B:Q,9,0),",",".")),"0")*F109</f>
        <v>182.39999999999998</v>
      </c>
      <c r="H109" s="27">
        <f>IFERROR(_xlfn.NUMBERVALUE(SUBSTITUTE(VLOOKUP(TEXT(A109,"#"),'EXCEL SMX'!B:Q,16,0),",","."))/100,"0")*G109</f>
        <v>36.479999999999997</v>
      </c>
      <c r="I109" s="38">
        <f t="shared" si="13"/>
        <v>145.91999999999999</v>
      </c>
      <c r="J109" s="32"/>
    </row>
    <row r="110" spans="1:10">
      <c r="A110" s="27" t="s">
        <v>172</v>
      </c>
      <c r="B110" s="27" t="s">
        <v>340</v>
      </c>
      <c r="C110" s="27" t="s">
        <v>300</v>
      </c>
      <c r="D110" s="41">
        <f>_xlfn.NUMBERVALUE(IFERROR(VLOOKUP(TEXT(A110,"#"),'EXCEL SMX'!B:I,8,0),0))</f>
        <v>12</v>
      </c>
      <c r="E110" s="41">
        <f>_xlfn.NUMBERVALUE(VLOOKUP(A110,'FINAL BODEGA'!A:D,4,0))</f>
        <v>23</v>
      </c>
      <c r="F110" s="41">
        <f t="shared" si="12"/>
        <v>276</v>
      </c>
      <c r="G110" s="27">
        <f>IFERROR(_xlfn.NUMBERVALUE(SUBSTITUTE(VLOOKUP(TEXT(A110,"#"),'EXCEL SMX'!B:Q,9,0),",",".")),"0")*F110</f>
        <v>173.88</v>
      </c>
      <c r="H110" s="27">
        <f>IFERROR(_xlfn.NUMBERVALUE(SUBSTITUTE(VLOOKUP(TEXT(A110,"#"),'EXCEL SMX'!B:Q,16,0),",","."))/100,"0")*G110</f>
        <v>0</v>
      </c>
      <c r="I110" s="38">
        <f t="shared" si="13"/>
        <v>173.88</v>
      </c>
      <c r="J110" s="32"/>
    </row>
    <row r="111" spans="1:10">
      <c r="A111" s="27" t="s">
        <v>173</v>
      </c>
      <c r="B111" s="27" t="s">
        <v>340</v>
      </c>
      <c r="C111" s="27" t="s">
        <v>301</v>
      </c>
      <c r="D111" s="41">
        <f>_xlfn.NUMBERVALUE(IFERROR(VLOOKUP(TEXT(A111,"#"),'EXCEL SMX'!B:I,8,0),0))</f>
        <v>6</v>
      </c>
      <c r="E111" s="41">
        <f>_xlfn.NUMBERVALUE(VLOOKUP(A111,'FINAL BODEGA'!A:D,4,0))</f>
        <v>3</v>
      </c>
      <c r="F111" s="41">
        <f t="shared" si="12"/>
        <v>18</v>
      </c>
      <c r="G111" s="27">
        <f>IFERROR(_xlfn.NUMBERVALUE(SUBSTITUTE(VLOOKUP(TEXT(A111,"#"),'EXCEL SMX'!B:Q,9,0),",",".")),"0")*F111</f>
        <v>40.5</v>
      </c>
      <c r="H111" s="27">
        <f>IFERROR(_xlfn.NUMBERVALUE(SUBSTITUTE(VLOOKUP(TEXT(A111,"#"),'EXCEL SMX'!B:Q,16,0),",","."))/100,"0")*G111</f>
        <v>0</v>
      </c>
      <c r="I111" s="38">
        <f t="shared" si="13"/>
        <v>40.5</v>
      </c>
      <c r="J111" s="32"/>
    </row>
    <row r="112" spans="1:10">
      <c r="A112" s="27" t="s">
        <v>177</v>
      </c>
      <c r="B112" s="27" t="s">
        <v>340</v>
      </c>
      <c r="C112" s="27" t="s">
        <v>304</v>
      </c>
      <c r="D112" s="41">
        <f>_xlfn.NUMBERVALUE(IFERROR(VLOOKUP(TEXT(A112,"#"),'EXCEL SMX'!B:I,8,0),0))</f>
        <v>0</v>
      </c>
      <c r="E112" s="41">
        <f>_xlfn.NUMBERVALUE(VLOOKUP(A112,'FINAL BODEGA'!A:D,4,0))</f>
        <v>0</v>
      </c>
      <c r="F112" s="41">
        <f t="shared" si="12"/>
        <v>0</v>
      </c>
      <c r="G112" s="27">
        <f>IFERROR(_xlfn.NUMBERVALUE(SUBSTITUTE(VLOOKUP(TEXT(A112,"#"),'EXCEL SMX'!B:Q,9,0),",",".")),"0")*F112</f>
        <v>0</v>
      </c>
      <c r="H112" s="27">
        <f>IFERROR(_xlfn.NUMBERVALUE(SUBSTITUTE(VLOOKUP(TEXT(A112,"#"),'EXCEL SMX'!B:Q,16,0),",","."))/100,"0")*G112</f>
        <v>0</v>
      </c>
      <c r="I112" s="38">
        <f t="shared" si="13"/>
        <v>0</v>
      </c>
      <c r="J112" s="32"/>
    </row>
    <row r="113" spans="1:10">
      <c r="A113" s="35" t="s">
        <v>176</v>
      </c>
      <c r="B113" s="35" t="s">
        <v>340</v>
      </c>
      <c r="C113" s="35" t="s">
        <v>303</v>
      </c>
      <c r="D113" s="42">
        <f>_xlfn.NUMBERVALUE(IFERROR(VLOOKUP(TEXT(A113,"#"),'EXCEL SMX'!B:I,8,0),0))</f>
        <v>0</v>
      </c>
      <c r="E113" s="42">
        <f>_xlfn.NUMBERVALUE(VLOOKUP(A113,'FINAL BODEGA'!A:D,4,0))</f>
        <v>0</v>
      </c>
      <c r="F113" s="42">
        <f t="shared" si="12"/>
        <v>0</v>
      </c>
      <c r="G113" s="27">
        <f>IFERROR(_xlfn.NUMBERVALUE(SUBSTITUTE(VLOOKUP(TEXT(A113,"#"),'EXCEL SMX'!B:Q,9,0),",",".")),"0")*F113</f>
        <v>0</v>
      </c>
      <c r="H113" s="27">
        <f>IFERROR(_xlfn.NUMBERVALUE(SUBSTITUTE(VLOOKUP(TEXT(A113,"#"),'EXCEL SMX'!B:Q,16,0),",","."))/100,"0")*G113</f>
        <v>0</v>
      </c>
      <c r="I113" s="39">
        <f t="shared" si="13"/>
        <v>0</v>
      </c>
      <c r="J113" s="36"/>
    </row>
    <row r="114" spans="1:10" hidden="1"/>
    <row r="115" spans="1:10">
      <c r="F115" s="41" t="s">
        <v>11</v>
      </c>
      <c r="G115" s="27">
        <f>+SUM(G2:G113)</f>
        <v>33625.4</v>
      </c>
      <c r="H115" s="27">
        <f>SUM(H2:H113)</f>
        <v>3509.0879999999997</v>
      </c>
      <c r="I115" s="38">
        <f>+G115-H115</f>
        <v>30116.312000000002</v>
      </c>
    </row>
    <row r="116" spans="1:10">
      <c r="F116" s="41" t="s">
        <v>10</v>
      </c>
      <c r="G116" s="27">
        <f>0.12*SUMIF(Table1[IVA],"&lt;&gt;",Table1[USD])</f>
        <v>405.71999999999997</v>
      </c>
      <c r="H116" s="27">
        <v>0</v>
      </c>
      <c r="I116" s="38">
        <f>+G116-H116</f>
        <v>405.71999999999997</v>
      </c>
    </row>
    <row r="117" spans="1:10">
      <c r="F117" s="41" t="s">
        <v>9</v>
      </c>
      <c r="H117" s="27">
        <f>+IFERROR(VLOOKUP(TEXT(A117,"#"),'EXCEL SMX'!B:Q,16,0),"0")*G117</f>
        <v>0</v>
      </c>
      <c r="I117" s="38">
        <f>I115+I116</f>
        <v>30522.032000000003</v>
      </c>
    </row>
    <row r="118" spans="1:10">
      <c r="F118" s="54" t="s">
        <v>16</v>
      </c>
      <c r="G118" s="55"/>
      <c r="H118" s="55"/>
      <c r="I118" s="56" t="s">
        <v>12</v>
      </c>
    </row>
    <row r="119" spans="1:10">
      <c r="E119" s="41" t="s">
        <v>202</v>
      </c>
      <c r="F119" s="41">
        <f>SUMIF(Table1[FAM],"&lt;&gt;YOG",Table1[UNIDAD])</f>
        <v>11755</v>
      </c>
      <c r="I119" s="38">
        <f>SUMIF(Table1[FAM],"&lt;&gt;YOG",Table1[USD])+G116</f>
        <v>30161.732000000004</v>
      </c>
    </row>
    <row r="120" spans="1:10">
      <c r="E120" s="41" t="s">
        <v>203</v>
      </c>
      <c r="F120" s="41">
        <f>SUMIF(Table1[FAM],"YOG",Table1[UNIDAD])</f>
        <v>342</v>
      </c>
      <c r="I120" s="38">
        <f>SUMIF(Table1[FAM],"YOG",Table1[USD])</f>
        <v>360.29999999999995</v>
      </c>
    </row>
    <row r="121" spans="1:10">
      <c r="E121" s="41" t="s">
        <v>293</v>
      </c>
      <c r="F121" s="41">
        <f>F119+F120</f>
        <v>12097</v>
      </c>
      <c r="I121" s="38">
        <f>I119+I120</f>
        <v>30522.032000000003</v>
      </c>
    </row>
  </sheetData>
  <phoneticPr fontId="5" type="noConversion"/>
  <conditionalFormatting sqref="C1:I2 C23:F113 D17:F22 C3:F16 G3:I113">
    <cfRule type="expression" dxfId="23" priority="9">
      <formula>$H1&lt;&gt;0</formula>
    </cfRule>
  </conditionalFormatting>
  <conditionalFormatting sqref="C19:C22">
    <cfRule type="expression" dxfId="22" priority="4">
      <formula>$H19&lt;&gt;0</formula>
    </cfRule>
  </conditionalFormatting>
  <conditionalFormatting sqref="C17">
    <cfRule type="expression" dxfId="21" priority="3">
      <formula>$H17&lt;&gt;0</formula>
    </cfRule>
  </conditionalFormatting>
  <conditionalFormatting sqref="C18">
    <cfRule type="expression" dxfId="20" priority="2">
      <formula>$H18&lt;&gt;0</formula>
    </cfRule>
  </conditionalFormatting>
  <conditionalFormatting sqref="A89:A91">
    <cfRule type="expression" dxfId="19" priority="1">
      <formula>$G89&lt;&gt;0</formula>
    </cfRule>
  </conditionalFormatting>
  <pageMargins left="0" right="0" top="0" bottom="0" header="0.31496062992125984" footer="0.31496062992125984"/>
  <pageSetup paperSize="9" scale="70" fitToWidth="0" orientation="landscape" horizontalDpi="120" verticalDpi="72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E107"/>
  <sheetViews>
    <sheetView topLeftCell="A91" workbookViewId="0">
      <selection activeCell="A106" sqref="A106"/>
    </sheetView>
  </sheetViews>
  <sheetFormatPr baseColWidth="10" defaultColWidth="11.5" defaultRowHeight="15"/>
  <cols>
    <col min="1" max="1" width="60.6640625" customWidth="1"/>
    <col min="2" max="2" width="21.6640625" customWidth="1"/>
    <col min="3" max="3" width="13" bestFit="1" customWidth="1"/>
    <col min="4" max="4" width="35.5" bestFit="1" customWidth="1"/>
    <col min="5" max="5" width="13" style="1" bestFit="1" customWidth="1"/>
  </cols>
  <sheetData>
    <row r="1" spans="1:5">
      <c r="A1" s="3" t="s">
        <v>40</v>
      </c>
      <c r="B1" s="2" t="str">
        <f>+VLOOKUP(A1,$D$1:$E$55,2,0)</f>
        <v>7861033000350</v>
      </c>
      <c r="C1" s="31" t="s">
        <v>250</v>
      </c>
      <c r="D1" s="2" t="s">
        <v>35</v>
      </c>
      <c r="E1" s="31" t="s">
        <v>250</v>
      </c>
    </row>
    <row r="2" spans="1:5">
      <c r="A2" s="3" t="s">
        <v>41</v>
      </c>
      <c r="B2" s="2" t="str">
        <f t="shared" ref="B2:B57" si="0">+VLOOKUP(A2,$D$1:$E$55,2,0)</f>
        <v>7861033001364</v>
      </c>
      <c r="C2" s="31" t="s">
        <v>257</v>
      </c>
      <c r="D2" s="2" t="s">
        <v>76</v>
      </c>
      <c r="E2" s="31" t="s">
        <v>257</v>
      </c>
    </row>
    <row r="3" spans="1:5">
      <c r="A3" s="3" t="s">
        <v>42</v>
      </c>
      <c r="B3" s="2" t="str">
        <f t="shared" si="0"/>
        <v>7861033001067</v>
      </c>
      <c r="C3" s="31" t="s">
        <v>251</v>
      </c>
      <c r="D3" s="2" t="s">
        <v>36</v>
      </c>
      <c r="E3" s="31" t="s">
        <v>251</v>
      </c>
    </row>
    <row r="4" spans="1:5">
      <c r="A4" s="3" t="s">
        <v>35</v>
      </c>
      <c r="B4" s="2" t="str">
        <f t="shared" si="0"/>
        <v>7861033000015</v>
      </c>
      <c r="C4" s="31" t="s">
        <v>249</v>
      </c>
      <c r="D4" s="2" t="s">
        <v>40</v>
      </c>
      <c r="E4" s="31" t="s">
        <v>249</v>
      </c>
    </row>
    <row r="5" spans="1:5">
      <c r="A5" s="3" t="s">
        <v>36</v>
      </c>
      <c r="B5" s="2" t="str">
        <f t="shared" si="0"/>
        <v>7861033000312</v>
      </c>
      <c r="C5" s="31" t="s">
        <v>256</v>
      </c>
      <c r="D5" s="2" t="s">
        <v>43</v>
      </c>
      <c r="E5" s="31" t="s">
        <v>256</v>
      </c>
    </row>
    <row r="6" spans="1:5">
      <c r="A6" s="3" t="s">
        <v>37</v>
      </c>
      <c r="B6" s="2" t="str">
        <f t="shared" si="0"/>
        <v>7861033000831</v>
      </c>
      <c r="C6" s="31" t="s">
        <v>254</v>
      </c>
      <c r="D6" s="2" t="s">
        <v>39</v>
      </c>
      <c r="E6" s="31" t="s">
        <v>254</v>
      </c>
    </row>
    <row r="7" spans="1:5">
      <c r="A7" s="3" t="s">
        <v>38</v>
      </c>
      <c r="B7" s="2" t="str">
        <f t="shared" si="0"/>
        <v>7861033001388</v>
      </c>
      <c r="C7" s="31" t="s">
        <v>252</v>
      </c>
      <c r="D7" s="2" t="s">
        <v>37</v>
      </c>
      <c r="E7" s="31" t="s">
        <v>252</v>
      </c>
    </row>
    <row r="8" spans="1:5">
      <c r="A8" s="3" t="s">
        <v>43</v>
      </c>
      <c r="B8" s="2" t="str">
        <f t="shared" si="0"/>
        <v>7861033000527</v>
      </c>
      <c r="C8" s="31" t="s">
        <v>255</v>
      </c>
      <c r="D8" s="2" t="s">
        <v>42</v>
      </c>
      <c r="E8" s="31" t="s">
        <v>255</v>
      </c>
    </row>
    <row r="9" spans="1:5">
      <c r="A9" s="3" t="s">
        <v>76</v>
      </c>
      <c r="B9" s="2" t="str">
        <f t="shared" si="0"/>
        <v>7861033000145</v>
      </c>
      <c r="C9" s="31" t="s">
        <v>248</v>
      </c>
      <c r="D9" s="2" t="s">
        <v>41</v>
      </c>
      <c r="E9" s="31" t="s">
        <v>248</v>
      </c>
    </row>
    <row r="10" spans="1:5">
      <c r="A10" s="3" t="s">
        <v>39</v>
      </c>
      <c r="B10" s="2" t="str">
        <f t="shared" si="0"/>
        <v>7861033000855</v>
      </c>
      <c r="C10" s="31" t="s">
        <v>253</v>
      </c>
      <c r="D10" s="2" t="s">
        <v>38</v>
      </c>
      <c r="E10" s="31" t="s">
        <v>253</v>
      </c>
    </row>
    <row r="11" spans="1:5">
      <c r="A11" s="3" t="s">
        <v>69</v>
      </c>
      <c r="B11" s="2" t="str">
        <f t="shared" si="0"/>
        <v>7861033001029</v>
      </c>
      <c r="C11" s="31" t="s">
        <v>261</v>
      </c>
      <c r="D11" s="2" t="s">
        <v>72</v>
      </c>
      <c r="E11" s="31" t="s">
        <v>261</v>
      </c>
    </row>
    <row r="12" spans="1:5">
      <c r="A12" s="3" t="s">
        <v>71</v>
      </c>
      <c r="B12" s="2" t="str">
        <f t="shared" si="0"/>
        <v>7861033000077</v>
      </c>
      <c r="C12" s="31" t="s">
        <v>314</v>
      </c>
      <c r="D12" s="2" t="s">
        <v>70</v>
      </c>
      <c r="E12" s="31" t="s">
        <v>314</v>
      </c>
    </row>
    <row r="13" spans="1:5">
      <c r="A13" s="3" t="s">
        <v>55</v>
      </c>
      <c r="B13" s="2" t="str">
        <f t="shared" si="0"/>
        <v>7861033001036</v>
      </c>
      <c r="C13" s="31" t="s">
        <v>264</v>
      </c>
      <c r="D13" s="2" t="s">
        <v>71</v>
      </c>
      <c r="E13" s="31" t="s">
        <v>264</v>
      </c>
    </row>
    <row r="14" spans="1:5">
      <c r="A14" s="3" t="s">
        <v>56</v>
      </c>
      <c r="B14" s="2" t="str">
        <f t="shared" si="0"/>
        <v>7861033000213</v>
      </c>
      <c r="C14" s="31" t="s">
        <v>263</v>
      </c>
      <c r="D14" s="2" t="s">
        <v>56</v>
      </c>
      <c r="E14" s="31" t="s">
        <v>263</v>
      </c>
    </row>
    <row r="15" spans="1:5">
      <c r="A15" s="3" t="s">
        <v>57</v>
      </c>
      <c r="B15" s="2" t="str">
        <f t="shared" si="0"/>
        <v>7861033001081</v>
      </c>
      <c r="C15" s="31" t="s">
        <v>315</v>
      </c>
      <c r="D15" s="2" t="s">
        <v>68</v>
      </c>
      <c r="E15" s="31" t="s">
        <v>315</v>
      </c>
    </row>
    <row r="16" spans="1:5">
      <c r="A16" s="3" t="s">
        <v>63</v>
      </c>
      <c r="B16" s="2" t="str">
        <f t="shared" si="0"/>
        <v>7861042552406</v>
      </c>
      <c r="C16" s="31" t="s">
        <v>269</v>
      </c>
      <c r="D16" s="2" t="s">
        <v>60</v>
      </c>
      <c r="E16" s="31" t="s">
        <v>269</v>
      </c>
    </row>
    <row r="17" spans="1:5">
      <c r="A17" s="3" t="s">
        <v>65</v>
      </c>
      <c r="B17" s="2" t="str">
        <f t="shared" si="0"/>
        <v>7861033001463</v>
      </c>
      <c r="C17" s="31" t="s">
        <v>246</v>
      </c>
      <c r="D17" s="2" t="s">
        <v>67</v>
      </c>
      <c r="E17" s="31" t="s">
        <v>246</v>
      </c>
    </row>
    <row r="18" spans="1:5">
      <c r="A18" s="3" t="s">
        <v>66</v>
      </c>
      <c r="B18" s="2" t="str">
        <f t="shared" si="0"/>
        <v>7861033000602</v>
      </c>
      <c r="C18" s="31" t="s">
        <v>260</v>
      </c>
      <c r="D18" s="2" t="s">
        <v>69</v>
      </c>
      <c r="E18" s="31" t="s">
        <v>260</v>
      </c>
    </row>
    <row r="19" spans="1:5">
      <c r="A19" s="3" t="s">
        <v>67</v>
      </c>
      <c r="B19" s="2" t="str">
        <f t="shared" si="0"/>
        <v>7861033000619</v>
      </c>
      <c r="C19" s="31" t="s">
        <v>245</v>
      </c>
      <c r="D19" s="2" t="s">
        <v>66</v>
      </c>
      <c r="E19" s="31" t="s">
        <v>245</v>
      </c>
    </row>
    <row r="20" spans="1:5">
      <c r="A20" s="3" t="s">
        <v>68</v>
      </c>
      <c r="B20" s="2" t="str">
        <f t="shared" si="0"/>
        <v>7861033000329</v>
      </c>
      <c r="C20" s="31" t="s">
        <v>268</v>
      </c>
      <c r="D20" s="2" t="s">
        <v>57</v>
      </c>
      <c r="E20" s="31" t="s">
        <v>268</v>
      </c>
    </row>
    <row r="21" spans="1:5">
      <c r="A21" s="3" t="s">
        <v>59</v>
      </c>
      <c r="B21" s="2" t="str">
        <f t="shared" si="0"/>
        <v>7861033000787</v>
      </c>
      <c r="C21" s="31" t="s">
        <v>272</v>
      </c>
      <c r="D21" s="2" t="s">
        <v>63</v>
      </c>
      <c r="E21" s="31" t="s">
        <v>272</v>
      </c>
    </row>
    <row r="22" spans="1:5">
      <c r="A22" s="3" t="s">
        <v>60</v>
      </c>
      <c r="B22" s="2" t="str">
        <f t="shared" si="0"/>
        <v>7861033000848</v>
      </c>
      <c r="C22" s="31" t="s">
        <v>270</v>
      </c>
      <c r="D22" s="2" t="s">
        <v>65</v>
      </c>
      <c r="E22" s="31" t="s">
        <v>270</v>
      </c>
    </row>
    <row r="23" spans="1:5">
      <c r="A23" s="3" t="s">
        <v>61</v>
      </c>
      <c r="B23" s="2" t="str">
        <f t="shared" si="0"/>
        <v>7861033001111</v>
      </c>
      <c r="C23" s="31" t="s">
        <v>238</v>
      </c>
      <c r="D23" s="2" t="s">
        <v>29</v>
      </c>
      <c r="E23" s="31" t="s">
        <v>238</v>
      </c>
    </row>
    <row r="24" spans="1:5">
      <c r="A24" s="3" t="s">
        <v>64</v>
      </c>
      <c r="B24" s="2" t="str">
        <f t="shared" si="0"/>
        <v>7861033001586</v>
      </c>
      <c r="C24" s="31" t="s">
        <v>239</v>
      </c>
      <c r="D24" s="2" t="s">
        <v>30</v>
      </c>
      <c r="E24" s="31" t="s">
        <v>239</v>
      </c>
    </row>
    <row r="25" spans="1:5">
      <c r="A25" s="3" t="s">
        <v>58</v>
      </c>
      <c r="B25" s="2" t="str">
        <f t="shared" si="0"/>
        <v>7861033001593</v>
      </c>
      <c r="C25" s="31" t="s">
        <v>243</v>
      </c>
      <c r="D25" s="2" t="s">
        <v>52</v>
      </c>
      <c r="E25" s="31" t="s">
        <v>243</v>
      </c>
    </row>
    <row r="26" spans="1:5">
      <c r="A26" s="3" t="s">
        <v>72</v>
      </c>
      <c r="B26" s="2" t="str">
        <f t="shared" si="0"/>
        <v>7861033000022</v>
      </c>
      <c r="C26" s="31" t="s">
        <v>244</v>
      </c>
      <c r="D26" s="2" t="s">
        <v>45</v>
      </c>
      <c r="E26" s="31" t="s">
        <v>244</v>
      </c>
    </row>
    <row r="27" spans="1:5">
      <c r="A27" s="3" t="s">
        <v>70</v>
      </c>
      <c r="B27" s="2" t="str">
        <f t="shared" si="0"/>
        <v>7861033000091</v>
      </c>
      <c r="C27" s="31" t="s">
        <v>286</v>
      </c>
      <c r="D27" s="2" t="s">
        <v>24</v>
      </c>
      <c r="E27" s="31" t="s">
        <v>286</v>
      </c>
    </row>
    <row r="28" spans="1:5">
      <c r="A28" s="3" t="s">
        <v>22</v>
      </c>
      <c r="B28" s="2" t="str">
        <f t="shared" si="0"/>
        <v>7861033001630</v>
      </c>
      <c r="C28" s="31" t="s">
        <v>262</v>
      </c>
      <c r="D28" s="2" t="s">
        <v>59</v>
      </c>
      <c r="E28" s="31" t="s">
        <v>262</v>
      </c>
    </row>
    <row r="29" spans="1:5">
      <c r="A29" s="3" t="s">
        <v>23</v>
      </c>
      <c r="B29" s="2" t="str">
        <f t="shared" si="0"/>
        <v>7861033001609</v>
      </c>
      <c r="C29" s="31" t="s">
        <v>312</v>
      </c>
      <c r="D29" s="2" t="s">
        <v>47</v>
      </c>
      <c r="E29" s="31" t="s">
        <v>312</v>
      </c>
    </row>
    <row r="30" spans="1:5">
      <c r="A30" s="3" t="s">
        <v>25</v>
      </c>
      <c r="B30" s="2" t="str">
        <f t="shared" si="0"/>
        <v>7861033001241</v>
      </c>
      <c r="C30" s="31" t="s">
        <v>267</v>
      </c>
      <c r="D30" s="2" t="s">
        <v>55</v>
      </c>
      <c r="E30" s="31" t="s">
        <v>267</v>
      </c>
    </row>
    <row r="31" spans="1:5">
      <c r="A31" s="3" t="s">
        <v>26</v>
      </c>
      <c r="B31" s="2" t="str">
        <f t="shared" si="0"/>
        <v>7861033001289</v>
      </c>
      <c r="C31" s="31" t="s">
        <v>308</v>
      </c>
      <c r="D31" s="2" t="s">
        <v>28</v>
      </c>
      <c r="E31" s="31" t="s">
        <v>308</v>
      </c>
    </row>
    <row r="32" spans="1:5">
      <c r="A32" s="3" t="s">
        <v>30</v>
      </c>
      <c r="B32" s="2" t="str">
        <f t="shared" si="0"/>
        <v>7861033000657</v>
      </c>
      <c r="C32" s="31" t="s">
        <v>234</v>
      </c>
      <c r="D32" s="2" t="s">
        <v>61</v>
      </c>
      <c r="E32" s="31" t="s">
        <v>234</v>
      </c>
    </row>
    <row r="33" spans="1:5">
      <c r="A33" s="3" t="s">
        <v>31</v>
      </c>
      <c r="B33" s="2" t="str">
        <f t="shared" si="0"/>
        <v>7861033001425</v>
      </c>
      <c r="C33" s="31" t="s">
        <v>233</v>
      </c>
      <c r="D33" s="2" t="s">
        <v>51</v>
      </c>
      <c r="E33" s="31" t="s">
        <v>233</v>
      </c>
    </row>
    <row r="34" spans="1:5">
      <c r="A34" s="3" t="s">
        <v>34</v>
      </c>
      <c r="B34" s="2" t="str">
        <f t="shared" si="0"/>
        <v>7861033001210</v>
      </c>
      <c r="C34" s="31" t="s">
        <v>241</v>
      </c>
      <c r="D34" s="2" t="s">
        <v>34</v>
      </c>
      <c r="E34" s="31" t="s">
        <v>241</v>
      </c>
    </row>
    <row r="35" spans="1:5">
      <c r="A35" s="3" t="s">
        <v>44</v>
      </c>
      <c r="B35" s="2" t="str">
        <f t="shared" si="0"/>
        <v>7861033001616</v>
      </c>
      <c r="C35" s="31" t="s">
        <v>309</v>
      </c>
      <c r="D35" s="2" t="s">
        <v>49</v>
      </c>
      <c r="E35" s="31" t="s">
        <v>309</v>
      </c>
    </row>
    <row r="36" spans="1:5">
      <c r="A36" s="3" t="s">
        <v>52</v>
      </c>
      <c r="B36" s="2" t="str">
        <f t="shared" si="0"/>
        <v>7861033000626</v>
      </c>
      <c r="C36" s="31" t="s">
        <v>306</v>
      </c>
      <c r="D36" s="2" t="s">
        <v>25</v>
      </c>
      <c r="E36" s="31" t="s">
        <v>306</v>
      </c>
    </row>
    <row r="37" spans="1:5">
      <c r="A37" s="3" t="s">
        <v>45</v>
      </c>
      <c r="B37" s="2" t="str">
        <f t="shared" si="0"/>
        <v>7861033000633</v>
      </c>
      <c r="C37" s="31" t="s">
        <v>310</v>
      </c>
      <c r="D37" s="2" t="s">
        <v>48</v>
      </c>
      <c r="E37" s="31" t="s">
        <v>310</v>
      </c>
    </row>
    <row r="38" spans="1:5">
      <c r="A38" s="3" t="s">
        <v>53</v>
      </c>
      <c r="B38" s="2" t="str">
        <f t="shared" si="0"/>
        <v>7861033001432</v>
      </c>
      <c r="C38" s="31" t="s">
        <v>290</v>
      </c>
      <c r="D38" s="2" t="s">
        <v>31</v>
      </c>
      <c r="E38" s="31" t="s">
        <v>290</v>
      </c>
    </row>
    <row r="39" spans="1:5">
      <c r="A39" s="3" t="s">
        <v>77</v>
      </c>
      <c r="B39" s="2" t="str">
        <f t="shared" si="0"/>
        <v>7861033001449</v>
      </c>
      <c r="C39" s="31" t="s">
        <v>307</v>
      </c>
      <c r="D39" s="2" t="s">
        <v>77</v>
      </c>
      <c r="E39" s="31" t="s">
        <v>307</v>
      </c>
    </row>
    <row r="40" spans="1:5">
      <c r="A40" s="3" t="s">
        <v>24</v>
      </c>
      <c r="B40" s="2" t="str">
        <f t="shared" si="0"/>
        <v>7861033000770</v>
      </c>
      <c r="C40" s="31" t="s">
        <v>311</v>
      </c>
      <c r="D40" s="2" t="s">
        <v>53</v>
      </c>
      <c r="E40" s="31" t="s">
        <v>311</v>
      </c>
    </row>
    <row r="41" spans="1:5">
      <c r="A41" s="3" t="s">
        <v>47</v>
      </c>
      <c r="B41" s="2" t="str">
        <f t="shared" si="0"/>
        <v>7861033000794</v>
      </c>
      <c r="C41" s="31" t="s">
        <v>240</v>
      </c>
      <c r="D41" s="2" t="s">
        <v>26</v>
      </c>
      <c r="E41" s="31" t="s">
        <v>240</v>
      </c>
    </row>
    <row r="42" spans="1:5">
      <c r="A42" s="3" t="s">
        <v>51</v>
      </c>
      <c r="B42" s="2" t="str">
        <f t="shared" si="0"/>
        <v>7861033001098</v>
      </c>
      <c r="C42" s="31" t="s">
        <v>242</v>
      </c>
      <c r="D42" s="2" t="s">
        <v>46</v>
      </c>
      <c r="E42" s="31" t="s">
        <v>242</v>
      </c>
    </row>
    <row r="43" spans="1:5">
      <c r="A43" s="3" t="s">
        <v>28</v>
      </c>
      <c r="B43" s="2" t="str">
        <f t="shared" si="0"/>
        <v>7861033001104</v>
      </c>
      <c r="C43" s="31" t="s">
        <v>288</v>
      </c>
      <c r="D43" s="2" t="s">
        <v>23</v>
      </c>
      <c r="E43" s="31" t="s">
        <v>288</v>
      </c>
    </row>
    <row r="44" spans="1:5">
      <c r="A44" s="3" t="s">
        <v>48</v>
      </c>
      <c r="B44" s="2" t="str">
        <f t="shared" si="0"/>
        <v>7861033001227</v>
      </c>
      <c r="C44" s="31" t="s">
        <v>237</v>
      </c>
      <c r="D44" s="2" t="s">
        <v>44</v>
      </c>
      <c r="E44" s="31" t="s">
        <v>237</v>
      </c>
    </row>
    <row r="45" spans="1:5">
      <c r="A45" s="3" t="s">
        <v>49</v>
      </c>
      <c r="B45" s="2" t="str">
        <f t="shared" si="0"/>
        <v>7861033001265</v>
      </c>
      <c r="C45" s="31" t="s">
        <v>287</v>
      </c>
      <c r="D45" s="2" t="s">
        <v>32</v>
      </c>
      <c r="E45" s="31" t="s">
        <v>287</v>
      </c>
    </row>
    <row r="46" spans="1:5">
      <c r="A46" s="3" t="s">
        <v>50</v>
      </c>
      <c r="B46" s="2" t="e">
        <f t="shared" si="0"/>
        <v>#N/A</v>
      </c>
      <c r="C46" s="31" t="s">
        <v>313</v>
      </c>
      <c r="D46" s="2" t="s">
        <v>33</v>
      </c>
      <c r="E46" s="31" t="s">
        <v>313</v>
      </c>
    </row>
    <row r="47" spans="1:5">
      <c r="A47" s="3" t="s">
        <v>27</v>
      </c>
      <c r="B47" s="2" t="e">
        <f t="shared" si="0"/>
        <v>#N/A</v>
      </c>
      <c r="C47" s="31" t="s">
        <v>276</v>
      </c>
      <c r="D47" s="2" t="s">
        <v>58</v>
      </c>
      <c r="E47" s="31" t="s">
        <v>276</v>
      </c>
    </row>
    <row r="48" spans="1:5">
      <c r="A48" s="3" t="s">
        <v>46</v>
      </c>
      <c r="B48" s="2" t="str">
        <f t="shared" si="0"/>
        <v>7861033001234</v>
      </c>
      <c r="C48" s="31" t="s">
        <v>275</v>
      </c>
      <c r="D48" s="2" t="s">
        <v>64</v>
      </c>
      <c r="E48" s="31" t="s">
        <v>275</v>
      </c>
    </row>
    <row r="49" spans="1:5">
      <c r="A49" s="3" t="s">
        <v>29</v>
      </c>
      <c r="B49" s="2" t="str">
        <f t="shared" si="0"/>
        <v>7861033000640</v>
      </c>
      <c r="C49" s="31" t="s">
        <v>280</v>
      </c>
      <c r="D49" s="2" t="s">
        <v>73</v>
      </c>
      <c r="E49" s="31" t="s">
        <v>280</v>
      </c>
    </row>
    <row r="50" spans="1:5">
      <c r="A50" s="3" t="s">
        <v>20</v>
      </c>
      <c r="B50" s="2" t="str">
        <f t="shared" si="0"/>
        <v>7861033001562</v>
      </c>
      <c r="C50" s="31" t="s">
        <v>281</v>
      </c>
      <c r="D50" s="2" t="s">
        <v>74</v>
      </c>
      <c r="E50" s="31" t="s">
        <v>281</v>
      </c>
    </row>
    <row r="51" spans="1:5">
      <c r="A51" s="3" t="s">
        <v>21</v>
      </c>
      <c r="B51" s="2" t="str">
        <f t="shared" si="0"/>
        <v>7861033001579</v>
      </c>
      <c r="C51" s="31" t="s">
        <v>278</v>
      </c>
      <c r="D51" s="2" t="s">
        <v>54</v>
      </c>
      <c r="E51" s="31" t="s">
        <v>278</v>
      </c>
    </row>
    <row r="52" spans="1:5">
      <c r="A52" s="3" t="s">
        <v>73</v>
      </c>
      <c r="B52" s="2" t="str">
        <f t="shared" si="0"/>
        <v>7861033000084</v>
      </c>
      <c r="C52" s="31" t="s">
        <v>283</v>
      </c>
      <c r="D52" s="2" t="s">
        <v>21</v>
      </c>
      <c r="E52" s="31" t="s">
        <v>283</v>
      </c>
    </row>
    <row r="53" spans="1:5">
      <c r="A53" s="3" t="s">
        <v>32</v>
      </c>
      <c r="B53" s="2" t="str">
        <f t="shared" si="0"/>
        <v>7861033001470</v>
      </c>
      <c r="C53" s="31" t="s">
        <v>282</v>
      </c>
      <c r="D53" s="2" t="s">
        <v>20</v>
      </c>
      <c r="E53" s="31" t="s">
        <v>282</v>
      </c>
    </row>
    <row r="54" spans="1:5">
      <c r="A54" s="3" t="s">
        <v>33</v>
      </c>
      <c r="B54" s="2" t="str">
        <f t="shared" si="0"/>
        <v>7861033001494</v>
      </c>
      <c r="C54" s="31" t="s">
        <v>279</v>
      </c>
      <c r="D54" s="2" t="s">
        <v>75</v>
      </c>
      <c r="E54" s="31" t="s">
        <v>279</v>
      </c>
    </row>
    <row r="55" spans="1:5">
      <c r="A55" s="3" t="s">
        <v>54</v>
      </c>
      <c r="B55" s="2" t="str">
        <f t="shared" si="0"/>
        <v>7861033001555</v>
      </c>
      <c r="C55" s="31" t="s">
        <v>235</v>
      </c>
      <c r="D55" s="2" t="s">
        <v>22</v>
      </c>
      <c r="E55" s="31" t="s">
        <v>235</v>
      </c>
    </row>
    <row r="56" spans="1:5">
      <c r="A56" s="3" t="s">
        <v>74</v>
      </c>
      <c r="B56" s="2" t="str">
        <f t="shared" si="0"/>
        <v>7861033001500</v>
      </c>
      <c r="C56" s="1" t="s">
        <v>372</v>
      </c>
      <c r="D56" s="3" t="s">
        <v>371</v>
      </c>
      <c r="E56" s="1" t="s">
        <v>372</v>
      </c>
    </row>
    <row r="57" spans="1:5">
      <c r="A57" s="3" t="s">
        <v>75</v>
      </c>
      <c r="B57" s="2" t="str">
        <f t="shared" si="0"/>
        <v>7861033001548</v>
      </c>
    </row>
    <row r="58" spans="1:5">
      <c r="A58" s="3" t="s">
        <v>158</v>
      </c>
      <c r="B58" s="29" t="s">
        <v>258</v>
      </c>
    </row>
    <row r="59" spans="1:5">
      <c r="A59" s="3" t="s">
        <v>159</v>
      </c>
      <c r="B59" s="29" t="s">
        <v>154</v>
      </c>
    </row>
    <row r="60" spans="1:5">
      <c r="A60" s="3" t="s">
        <v>157</v>
      </c>
      <c r="B60" s="29" t="s">
        <v>153</v>
      </c>
    </row>
    <row r="61" spans="1:5">
      <c r="A61" s="24" t="s">
        <v>181</v>
      </c>
      <c r="B61" s="29" t="s">
        <v>160</v>
      </c>
      <c r="D61" s="25"/>
    </row>
    <row r="62" spans="1:5">
      <c r="A62" s="24" t="s">
        <v>182</v>
      </c>
      <c r="B62" s="29" t="s">
        <v>161</v>
      </c>
      <c r="D62" s="25"/>
    </row>
    <row r="63" spans="1:5">
      <c r="A63" s="24" t="s">
        <v>183</v>
      </c>
      <c r="B63" s="29" t="s">
        <v>162</v>
      </c>
      <c r="D63" s="25"/>
    </row>
    <row r="64" spans="1:5">
      <c r="A64" s="24" t="s">
        <v>184</v>
      </c>
      <c r="B64" s="29" t="s">
        <v>163</v>
      </c>
      <c r="D64" s="25"/>
    </row>
    <row r="65" spans="1:4">
      <c r="A65" s="24" t="s">
        <v>185</v>
      </c>
      <c r="B65" s="29" t="s">
        <v>164</v>
      </c>
      <c r="D65" s="25"/>
    </row>
    <row r="66" spans="1:4">
      <c r="A66" s="24" t="s">
        <v>186</v>
      </c>
      <c r="B66" s="29" t="s">
        <v>165</v>
      </c>
      <c r="D66" s="25"/>
    </row>
    <row r="67" spans="1:4">
      <c r="A67" s="24" t="s">
        <v>187</v>
      </c>
      <c r="B67" s="29" t="s">
        <v>166</v>
      </c>
      <c r="D67" s="25"/>
    </row>
    <row r="68" spans="1:4">
      <c r="A68" s="24" t="s">
        <v>188</v>
      </c>
      <c r="B68" s="29" t="s">
        <v>167</v>
      </c>
      <c r="D68" s="25"/>
    </row>
    <row r="69" spans="1:4">
      <c r="A69" s="24" t="s">
        <v>189</v>
      </c>
      <c r="B69" s="29" t="s">
        <v>168</v>
      </c>
      <c r="D69" s="25"/>
    </row>
    <row r="70" spans="1:4">
      <c r="A70" s="24" t="s">
        <v>190</v>
      </c>
      <c r="B70" s="29" t="s">
        <v>169</v>
      </c>
      <c r="D70" s="25"/>
    </row>
    <row r="71" spans="1:4">
      <c r="A71" s="24" t="s">
        <v>191</v>
      </c>
      <c r="B71" s="29" t="s">
        <v>170</v>
      </c>
      <c r="D71" s="25"/>
    </row>
    <row r="72" spans="1:4">
      <c r="A72" s="24" t="s">
        <v>192</v>
      </c>
      <c r="B72" s="29" t="s">
        <v>171</v>
      </c>
      <c r="D72" s="25"/>
    </row>
    <row r="73" spans="1:4">
      <c r="A73" s="24" t="s">
        <v>193</v>
      </c>
      <c r="B73" s="29" t="s">
        <v>172</v>
      </c>
      <c r="D73" s="25"/>
    </row>
    <row r="74" spans="1:4">
      <c r="A74" s="24" t="s">
        <v>194</v>
      </c>
      <c r="B74" s="29" t="s">
        <v>173</v>
      </c>
      <c r="D74" s="25"/>
    </row>
    <row r="75" spans="1:4">
      <c r="A75" s="24" t="s">
        <v>195</v>
      </c>
      <c r="B75" s="29" t="s">
        <v>174</v>
      </c>
      <c r="D75" s="25"/>
    </row>
    <row r="76" spans="1:4">
      <c r="A76" s="24" t="s">
        <v>196</v>
      </c>
      <c r="B76" s="29" t="s">
        <v>175</v>
      </c>
      <c r="D76" s="25"/>
    </row>
    <row r="77" spans="1:4">
      <c r="A77" s="24" t="s">
        <v>197</v>
      </c>
      <c r="B77" s="29" t="s">
        <v>176</v>
      </c>
      <c r="D77" s="25"/>
    </row>
    <row r="78" spans="1:4">
      <c r="A78" s="24" t="s">
        <v>198</v>
      </c>
      <c r="B78" s="29" t="s">
        <v>177</v>
      </c>
      <c r="D78" s="25"/>
    </row>
    <row r="79" spans="1:4">
      <c r="A79" s="24" t="s">
        <v>199</v>
      </c>
      <c r="B79" s="29" t="s">
        <v>178</v>
      </c>
      <c r="D79" s="25"/>
    </row>
    <row r="80" spans="1:4">
      <c r="A80" s="24" t="s">
        <v>200</v>
      </c>
      <c r="B80" s="29" t="s">
        <v>179</v>
      </c>
      <c r="D80" s="25"/>
    </row>
    <row r="81" spans="1:4">
      <c r="A81" s="24" t="s">
        <v>201</v>
      </c>
      <c r="B81" s="29" t="s">
        <v>180</v>
      </c>
      <c r="D81" s="25"/>
    </row>
    <row r="82" spans="1:4">
      <c r="A82" s="26" t="s">
        <v>227</v>
      </c>
      <c r="B82" s="30" t="s">
        <v>223</v>
      </c>
    </row>
    <row r="83" spans="1:4">
      <c r="A83" s="26" t="s">
        <v>228</v>
      </c>
      <c r="B83" s="30" t="s">
        <v>226</v>
      </c>
    </row>
    <row r="84" spans="1:4">
      <c r="A84" s="26" t="s">
        <v>229</v>
      </c>
      <c r="B84" s="30" t="s">
        <v>224</v>
      </c>
    </row>
    <row r="85" spans="1:4">
      <c r="A85" s="26" t="s">
        <v>230</v>
      </c>
      <c r="B85" s="30" t="s">
        <v>225</v>
      </c>
    </row>
    <row r="86" spans="1:4">
      <c r="A86" s="26" t="s">
        <v>231</v>
      </c>
      <c r="B86" s="30" t="s">
        <v>221</v>
      </c>
    </row>
    <row r="87" spans="1:4" ht="16" thickBot="1">
      <c r="A87" s="26" t="s">
        <v>232</v>
      </c>
      <c r="B87" s="30" t="s">
        <v>222</v>
      </c>
    </row>
    <row r="88" spans="1:4" ht="16" thickBot="1">
      <c r="A88" s="43" t="s">
        <v>354</v>
      </c>
      <c r="B88" s="45">
        <v>7861033002521</v>
      </c>
    </row>
    <row r="89" spans="1:4" ht="16" thickBot="1">
      <c r="A89" s="44" t="s">
        <v>355</v>
      </c>
      <c r="B89" s="46">
        <v>7861033002538</v>
      </c>
    </row>
    <row r="90" spans="1:4" ht="16" thickBot="1">
      <c r="A90" s="44" t="s">
        <v>356</v>
      </c>
      <c r="B90" s="46">
        <v>7861033002545</v>
      </c>
    </row>
    <row r="91" spans="1:4" ht="16" thickBot="1">
      <c r="A91" s="44" t="s">
        <v>357</v>
      </c>
      <c r="B91" s="46">
        <v>7861033002552</v>
      </c>
    </row>
    <row r="92" spans="1:4" ht="16" thickBot="1">
      <c r="A92" s="44" t="s">
        <v>358</v>
      </c>
      <c r="B92" s="46">
        <v>7861033002583</v>
      </c>
    </row>
    <row r="93" spans="1:4">
      <c r="A93" s="3" t="s">
        <v>371</v>
      </c>
      <c r="B93" t="s">
        <v>372</v>
      </c>
    </row>
    <row r="94" spans="1:4" ht="17" thickBot="1">
      <c r="A94" s="66" t="s">
        <v>387</v>
      </c>
      <c r="B94" s="67">
        <v>7861042572237</v>
      </c>
    </row>
    <row r="95" spans="1:4" ht="17" thickBot="1">
      <c r="A95" s="66" t="s">
        <v>388</v>
      </c>
      <c r="B95" s="67">
        <v>7861042572220</v>
      </c>
    </row>
    <row r="96" spans="1:4" ht="17" thickBot="1">
      <c r="A96" s="66" t="s">
        <v>389</v>
      </c>
      <c r="B96" s="67">
        <v>7861042572688</v>
      </c>
    </row>
    <row r="97" spans="1:2" ht="17" thickBot="1">
      <c r="A97" s="66" t="s">
        <v>390</v>
      </c>
      <c r="B97" s="67">
        <v>7861042570141</v>
      </c>
    </row>
    <row r="98" spans="1:2" ht="17" thickBot="1">
      <c r="A98" s="66" t="s">
        <v>391</v>
      </c>
      <c r="B98" s="67">
        <v>7861042572244</v>
      </c>
    </row>
    <row r="99" spans="1:2" ht="17" thickBot="1">
      <c r="A99" s="66" t="s">
        <v>392</v>
      </c>
      <c r="B99" s="67">
        <v>7861042571780</v>
      </c>
    </row>
    <row r="100" spans="1:2" ht="17" thickBot="1">
      <c r="A100" s="70" t="s">
        <v>393</v>
      </c>
      <c r="B100" s="67">
        <v>7861033003047</v>
      </c>
    </row>
    <row r="101" spans="1:2" ht="17" thickBot="1">
      <c r="A101" s="70" t="s">
        <v>396</v>
      </c>
      <c r="B101" s="67">
        <v>7861033003139</v>
      </c>
    </row>
    <row r="102" spans="1:2" ht="17" thickBot="1">
      <c r="A102" s="70" t="s">
        <v>395</v>
      </c>
      <c r="B102" s="67">
        <v>7861033003146</v>
      </c>
    </row>
    <row r="103" spans="1:2" ht="17" thickBot="1">
      <c r="A103" s="70" t="s">
        <v>394</v>
      </c>
      <c r="B103" s="67">
        <v>7861033003016</v>
      </c>
    </row>
    <row r="104" spans="1:2" ht="16">
      <c r="A104" s="72" t="s">
        <v>397</v>
      </c>
      <c r="B104" s="71">
        <v>7861033003061</v>
      </c>
    </row>
    <row r="105" spans="1:2">
      <c r="A105" s="10" t="s">
        <v>400</v>
      </c>
      <c r="B105" s="50">
        <v>7861033003078</v>
      </c>
    </row>
    <row r="106" spans="1:2">
      <c r="A106" s="10" t="s">
        <v>398</v>
      </c>
      <c r="B106" s="50">
        <v>7861033003085</v>
      </c>
    </row>
    <row r="107" spans="1:2">
      <c r="A107" s="10" t="s">
        <v>399</v>
      </c>
      <c r="B107" s="50">
        <v>7861033003092</v>
      </c>
    </row>
  </sheetData>
  <conditionalFormatting sqref="A104">
    <cfRule type="expression" dxfId="4" priority="5">
      <formula>$G104&lt;&gt;0</formula>
    </cfRule>
  </conditionalFormatting>
  <conditionalFormatting sqref="A104">
    <cfRule type="expression" dxfId="3" priority="4">
      <formula>$G103&lt;&gt;0</formula>
    </cfRule>
  </conditionalFormatting>
  <conditionalFormatting sqref="B104">
    <cfRule type="expression" dxfId="2" priority="3">
      <formula>$G104&lt;&gt;0</formula>
    </cfRule>
  </conditionalFormatting>
  <conditionalFormatting sqref="A105:A107">
    <cfRule type="expression" dxfId="1" priority="2">
      <formula>$G105&lt;&gt;0</formula>
    </cfRule>
  </conditionalFormatting>
  <conditionalFormatting sqref="B105:B107">
    <cfRule type="expression" dxfId="0" priority="1">
      <formula>$G105&lt;&gt;0</formula>
    </cfRule>
  </conditionalFormatting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357147C84ED84190B18F2392BCB8D5" ma:contentTypeVersion="4" ma:contentTypeDescription="Crear nuevo documento." ma:contentTypeScope="" ma:versionID="24fa81bf16e8f895c7223d1b9f1bc48d">
  <xsd:schema xmlns:xsd="http://www.w3.org/2001/XMLSchema" xmlns:xs="http://www.w3.org/2001/XMLSchema" xmlns:p="http://schemas.microsoft.com/office/2006/metadata/properties" xmlns:ns2="1acab358-6c24-4932-84aa-227eda3e73b4" xmlns:ns3="ca354e98-40b4-4c29-a8c9-666cb1379a2f" targetNamespace="http://schemas.microsoft.com/office/2006/metadata/properties" ma:root="true" ma:fieldsID="52e9e81700826028857631c2b455437d" ns2:_="" ns3:_="">
    <xsd:import namespace="1acab358-6c24-4932-84aa-227eda3e73b4"/>
    <xsd:import namespace="ca354e98-40b4-4c29-a8c9-666cb1379a2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ab358-6c24-4932-84aa-227eda3e73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54e98-40b4-4c29-a8c9-666cb1379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B584F1-373B-4981-977E-8DEABF37E3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9D3D4F-64B7-48B6-810E-33254B16BD09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058934E-E6BA-408F-AB48-605E15CFD3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cab358-6c24-4932-84aa-227eda3e73b4"/>
    <ds:schemaRef ds:uri="ca354e98-40b4-4c29-a8c9-666cb1379a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EXCEL SMX</vt:lpstr>
      <vt:lpstr>Hoja2</vt:lpstr>
      <vt:lpstr>FINAL BODEGA</vt:lpstr>
      <vt:lpstr>FINAL AE</vt:lpstr>
      <vt:lpstr>PRODS</vt:lpstr>
      <vt:lpstr>'FINAL AE'!Print_Area</vt:lpstr>
      <vt:lpstr>'FINAL BODEGA'!Print_Area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Ricardo Rocha</cp:lastModifiedBy>
  <cp:lastPrinted>2021-11-11T16:26:15Z</cp:lastPrinted>
  <dcterms:created xsi:type="dcterms:W3CDTF">2018-12-31T17:57:03Z</dcterms:created>
  <dcterms:modified xsi:type="dcterms:W3CDTF">2022-10-30T22:22:47Z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a6b6ed28-bca3-43b0-8a70-e38776527c9f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0x0101002B357147C84ED84190B18F2392BCB8D5</vt:lpwstr>
  </property>
</Properties>
</file>